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2"/>
    <sheet name="Orders_Raw" sheetId="2" state="visible" r:id="rId3"/>
    <sheet name="Products" sheetId="3" state="visible" r:id="rId4"/>
    <sheet name="Customers" sheetId="4" state="visible" r:id="rId5"/>
    <sheet name="Analysis" sheetId="5" state="visible" r:id="rId6"/>
  </sheets>
  <definedNames>
    <definedName function="false" hidden="true" localSheetId="1" name="_xlnm._FilterDatabase" vbProcedure="false">Orders_Raw!$A$1:$K$31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<sst xmlns="http://schemas.openxmlformats.org/spreadsheetml/2006/main" count="358" uniqueCount="245">
  <si>
    <t xml:space="preserve">📋  WORKBOOK GUIDE  ─  Spreadsheets for Data Handling Training</t>
  </si>
  <si>
    <t xml:space="preserve">Sheet Overview</t>
  </si>
  <si>
    <t xml:space="preserve">Orders_Raw</t>
  </si>
  <si>
    <t xml:space="preserve">30 rows of intentionally messy order data. Use this for cleaning, sorting, filtering &amp; functions.</t>
  </si>
  <si>
    <t xml:space="preserve">Products</t>
  </si>
  <si>
    <t xml:space="preserve">6-row product reference table. Use this as the lookup range for VLOOKUP / XLOOKUP.</t>
  </si>
  <si>
    <t xml:space="preserve">Customers</t>
  </si>
  <si>
    <t xml:space="preserve">10-row customer reference. Explore tier data and practice joins with Order data.</t>
  </si>
  <si>
    <t xml:space="preserve">Analysis</t>
  </si>
  <si>
    <t xml:space="preserve">Pre-built formulas demonstrating SUM, IF, VLOOKUP, XLOOKUP. Study and extend these.</t>
  </si>
  <si>
    <t xml:space="preserve">README</t>
  </si>
  <si>
    <t xml:space="preserve">This sheet. Keep open as a reference while working.</t>
  </si>
  <si>
    <t xml:space="preserve">Intentional Data Quality Issues to Find &amp; Fix</t>
  </si>
  <si>
    <t xml:space="preserve">  ▸  Row 6 (ORD-1006): Date in MM/DD/YYYY format instead of YYYY-MM-DD</t>
  </si>
  <si>
    <t xml:space="preserve">  ▸  Row 6 (ORD-1006): Status is lowercase 'shipped' — should be 'Shipped'</t>
  </si>
  <si>
    <t xml:space="preserve">  ▸  Row 6 (ORD-1006): Quantity is stored as TEXT '7' (highlighted orange) — convert with VALUE()</t>
  </si>
  <si>
    <t xml:space="preserve">  ▸  Rows 1, 7, 24 (Alice, Grace, Wendy): Customer names have leading/trailing spaces — fix with TRIM()</t>
  </si>
  <si>
    <t xml:space="preserve">  ▸  Rows 2, 13, 25 (Bob, Liam, Xander): Names in ALL CAPS — fix with PROPER()</t>
  </si>
  <si>
    <t xml:space="preserve">  ▸  Row 11 (ORD-1011): Duplicate of Row 1 — use Remove Duplicates</t>
  </si>
  <si>
    <t xml:space="preserve">  ▸  Row 18 (ORD-1018): Date in MM/DD/YYYY format — highlighted orange</t>
  </si>
  <si>
    <t xml:space="preserve">  ▸  Rows 3, 8, 15 (carol, henry, noah): Names in all lowercase — fix with PROPER()</t>
  </si>
  <si>
    <t xml:space="preserve">Key Formulas Quick Reference</t>
  </si>
  <si>
    <t xml:space="preserve">Function</t>
  </si>
  <si>
    <t xml:space="preserve">Example</t>
  </si>
  <si>
    <t xml:space="preserve">What It Does</t>
  </si>
  <si>
    <t xml:space="preserve">SUM</t>
  </si>
  <si>
    <t xml:space="preserve">=SUM(F2:F31)</t>
  </si>
  <si>
    <t xml:space="preserve">Total of a range</t>
  </si>
  <si>
    <t xml:space="preserve">AVERAGE</t>
  </si>
  <si>
    <t xml:space="preserve">=AVERAGE(G2:G31)</t>
  </si>
  <si>
    <t xml:space="preserve">Mean of numeric values</t>
  </si>
  <si>
    <t xml:space="preserve">COUNTIF</t>
  </si>
  <si>
    <t xml:space="preserve">=COUNTIF(H2:H31,"Shipped")</t>
  </si>
  <si>
    <t xml:space="preserve">Count cells matching a condition</t>
  </si>
  <si>
    <t xml:space="preserve">IF</t>
  </si>
  <si>
    <t xml:space="preserve">=IF(F2&gt;=10,"Large","Small")</t>
  </si>
  <si>
    <t xml:space="preserve">Return value based on condition</t>
  </si>
  <si>
    <t xml:space="preserve">TRIM</t>
  </si>
  <si>
    <t xml:space="preserve">=TRIM(C2)</t>
  </si>
  <si>
    <t xml:space="preserve">Remove extra spaces</t>
  </si>
  <si>
    <t xml:space="preserve">PROPER</t>
  </si>
  <si>
    <t xml:space="preserve">=PROPER(C2)</t>
  </si>
  <si>
    <t xml:space="preserve">Fix capitalisation</t>
  </si>
  <si>
    <t xml:space="preserve">VALUE</t>
  </si>
  <si>
    <t xml:space="preserve">=VALUE(F2)</t>
  </si>
  <si>
    <t xml:space="preserve">Convert text number to real number</t>
  </si>
  <si>
    <t xml:space="preserve">IFERROR</t>
  </si>
  <si>
    <t xml:space="preserve">=IFERROR(VLOOKUP(...),"Not Found")</t>
  </si>
  <si>
    <t xml:space="preserve">Trap errors gracefully</t>
  </si>
  <si>
    <t xml:space="preserve">VLOOKUP</t>
  </si>
  <si>
    <t xml:space="preserve">=VLOOKUP(E2,Products!$A:$F,2,FALSE)</t>
  </si>
  <si>
    <t xml:space="preserve">Look up value in a table (left-to-right)</t>
  </si>
  <si>
    <t xml:space="preserve">XLOOKUP</t>
  </si>
  <si>
    <t xml:space="preserve">=XLOOKUP(E2,Products!$A:$A,Products!$C:$C)</t>
  </si>
  <si>
    <t xml:space="preserve">Modern flexible lookup</t>
  </si>
  <si>
    <t xml:space="preserve">Order_ID</t>
  </si>
  <si>
    <t xml:space="preserve">Order_Date</t>
  </si>
  <si>
    <t xml:space="preserve">Customer_Name</t>
  </si>
  <si>
    <t xml:space="preserve">Region</t>
  </si>
  <si>
    <t xml:space="preserve">Product_ID</t>
  </si>
  <si>
    <t xml:space="preserve">Quantity</t>
  </si>
  <si>
    <t xml:space="preserve">Unit_Price</t>
  </si>
  <si>
    <t xml:space="preserve">Status</t>
  </si>
  <si>
    <t xml:space="preserve">Notes</t>
  </si>
  <si>
    <t xml:space="preserve">ORD-1001</t>
  </si>
  <si>
    <t xml:space="preserve">2024-01-05</t>
  </si>
  <si>
    <t xml:space="preserve">  Alice Johnson </t>
  </si>
  <si>
    <t xml:space="preserve">North</t>
  </si>
  <si>
    <t xml:space="preserve">PRD-A01</t>
  </si>
  <si>
    <t xml:space="preserve">Shipped</t>
  </si>
  <si>
    <t xml:space="preserve">ORD-1002</t>
  </si>
  <si>
    <t xml:space="preserve">2024-01-08</t>
  </si>
  <si>
    <t xml:space="preserve">BOB SMITH</t>
  </si>
  <si>
    <t xml:space="preserve">South</t>
  </si>
  <si>
    <t xml:space="preserve">PRD-B02</t>
  </si>
  <si>
    <t xml:space="preserve">Pending</t>
  </si>
  <si>
    <t xml:space="preserve">Rush order</t>
  </si>
  <si>
    <t xml:space="preserve">ORD-1003</t>
  </si>
  <si>
    <t xml:space="preserve">2024-01-10</t>
  </si>
  <si>
    <t xml:space="preserve">carol white</t>
  </si>
  <si>
    <t xml:space="preserve">East</t>
  </si>
  <si>
    <t xml:space="preserve">PRD-C03</t>
  </si>
  <si>
    <t xml:space="preserve">Delivered</t>
  </si>
  <si>
    <t xml:space="preserve">ORD-1004</t>
  </si>
  <si>
    <t xml:space="preserve">2024-01-15</t>
  </si>
  <si>
    <t xml:space="preserve">David Lee</t>
  </si>
  <si>
    <t xml:space="preserve">West</t>
  </si>
  <si>
    <t xml:space="preserve">ORD-1005</t>
  </si>
  <si>
    <t xml:space="preserve">2024-01-18</t>
  </si>
  <si>
    <t xml:space="preserve">  Emma Brown  </t>
  </si>
  <si>
    <t xml:space="preserve">PRD-D04</t>
  </si>
  <si>
    <t xml:space="preserve">Cancelled</t>
  </si>
  <si>
    <t xml:space="preserve">Customer request</t>
  </si>
  <si>
    <t xml:space="preserve">ORD-1006</t>
  </si>
  <si>
    <t xml:space="preserve">01/22/2024</t>
  </si>
  <si>
    <t xml:space="preserve">FRANK MILLER</t>
  </si>
  <si>
    <t xml:space="preserve">SOUTH</t>
  </si>
  <si>
    <t xml:space="preserve">shipped</t>
  </si>
  <si>
    <t xml:space="preserve">ORD-1007</t>
  </si>
  <si>
    <t xml:space="preserve">2024-01-25</t>
  </si>
  <si>
    <t xml:space="preserve">Grace Kim </t>
  </si>
  <si>
    <t xml:space="preserve">ORD-1008</t>
  </si>
  <si>
    <t xml:space="preserve">2024-01-28</t>
  </si>
  <si>
    <t xml:space="preserve">henry jones</t>
  </si>
  <si>
    <t xml:space="preserve">PRD-E05</t>
  </si>
  <si>
    <t xml:space="preserve">ORD-1009</t>
  </si>
  <si>
    <t xml:space="preserve">2024-02-01</t>
  </si>
  <si>
    <t xml:space="preserve">Isabel Tan</t>
  </si>
  <si>
    <t xml:space="preserve">ORD-1010</t>
  </si>
  <si>
    <t xml:space="preserve">2024-02-03</t>
  </si>
  <si>
    <t xml:space="preserve">James Wu</t>
  </si>
  <si>
    <t xml:space="preserve">VIP</t>
  </si>
  <si>
    <t xml:space="preserve">ORD-1011</t>
  </si>
  <si>
    <t xml:space="preserve">2024-02-07</t>
  </si>
  <si>
    <t xml:space="preserve">ORD-1012</t>
  </si>
  <si>
    <t xml:space="preserve">2024-02-10</t>
  </si>
  <si>
    <t xml:space="preserve">Karen Patel</t>
  </si>
  <si>
    <t xml:space="preserve">PRD-F06</t>
  </si>
  <si>
    <t xml:space="preserve">ORD-1013</t>
  </si>
  <si>
    <t xml:space="preserve">2024-02-12</t>
  </si>
  <si>
    <t xml:space="preserve">LIAM CHEN</t>
  </si>
  <si>
    <t xml:space="preserve">ORD-1014</t>
  </si>
  <si>
    <t xml:space="preserve">2024-02-15</t>
  </si>
  <si>
    <t xml:space="preserve">Mia Russo</t>
  </si>
  <si>
    <t xml:space="preserve">ORD-1015</t>
  </si>
  <si>
    <t xml:space="preserve">2024-02-18</t>
  </si>
  <si>
    <t xml:space="preserve">noah kim</t>
  </si>
  <si>
    <t xml:space="preserve">Out of stock</t>
  </si>
  <si>
    <t xml:space="preserve">ORD-1016</t>
  </si>
  <si>
    <t xml:space="preserve">2024-02-20</t>
  </si>
  <si>
    <t xml:space="preserve">Olivia Park</t>
  </si>
  <si>
    <t xml:space="preserve">ORD-1017</t>
  </si>
  <si>
    <t xml:space="preserve">2024-02-22</t>
  </si>
  <si>
    <t xml:space="preserve">Peter Grant</t>
  </si>
  <si>
    <t xml:space="preserve">ORD-1018</t>
  </si>
  <si>
    <t xml:space="preserve">02/25/2024</t>
  </si>
  <si>
    <t xml:space="preserve">Quinn Adams</t>
  </si>
  <si>
    <t xml:space="preserve">ORD-1019</t>
  </si>
  <si>
    <t xml:space="preserve">2024-03-01</t>
  </si>
  <si>
    <t xml:space="preserve">Rachel Scott</t>
  </si>
  <si>
    <t xml:space="preserve">ORD-1020</t>
  </si>
  <si>
    <t xml:space="preserve">2024-03-04</t>
  </si>
  <si>
    <t xml:space="preserve">Sam Torres</t>
  </si>
  <si>
    <t xml:space="preserve">ORD-1021</t>
  </si>
  <si>
    <t xml:space="preserve">2024-03-06</t>
  </si>
  <si>
    <t xml:space="preserve">Tina Bell</t>
  </si>
  <si>
    <t xml:space="preserve">ORD-1022</t>
  </si>
  <si>
    <t xml:space="preserve">2024-03-10</t>
  </si>
  <si>
    <t xml:space="preserve">Uma Singh</t>
  </si>
  <si>
    <t xml:space="preserve">ORD-1023</t>
  </si>
  <si>
    <t xml:space="preserve">2024-03-12</t>
  </si>
  <si>
    <t xml:space="preserve">Victor Ng</t>
  </si>
  <si>
    <t xml:space="preserve">ORD-1024</t>
  </si>
  <si>
    <t xml:space="preserve">2024-03-15</t>
  </si>
  <si>
    <t xml:space="preserve">  Wendy Fox  </t>
  </si>
  <si>
    <t xml:space="preserve">ORD-1025</t>
  </si>
  <si>
    <t xml:space="preserve">2024-03-18</t>
  </si>
  <si>
    <t xml:space="preserve">XANDER HILL</t>
  </si>
  <si>
    <t xml:space="preserve">ORD-1026</t>
  </si>
  <si>
    <t xml:space="preserve">2024-03-20</t>
  </si>
  <si>
    <t xml:space="preserve">Yara Osei</t>
  </si>
  <si>
    <t xml:space="preserve">ORD-1027</t>
  </si>
  <si>
    <t xml:space="preserve">2024-03-22</t>
  </si>
  <si>
    <t xml:space="preserve">Zoe Clark</t>
  </si>
  <si>
    <t xml:space="preserve">ORD-1028</t>
  </si>
  <si>
    <t xml:space="preserve">2024-03-25</t>
  </si>
  <si>
    <t xml:space="preserve">Alice Johnson</t>
  </si>
  <si>
    <t xml:space="preserve">ORD-1029</t>
  </si>
  <si>
    <t xml:space="preserve">2024-03-28</t>
  </si>
  <si>
    <t xml:space="preserve">bob smith</t>
  </si>
  <si>
    <t xml:space="preserve">ORD-1030</t>
  </si>
  <si>
    <t xml:space="preserve">2024-03-30</t>
  </si>
  <si>
    <t xml:space="preserve">Carol White</t>
  </si>
  <si>
    <t xml:space="preserve">Product_Name</t>
  </si>
  <si>
    <t xml:space="preserve">Category</t>
  </si>
  <si>
    <t xml:space="preserve">Stock_Qty</t>
  </si>
  <si>
    <t xml:space="preserve">Supplier</t>
  </si>
  <si>
    <t xml:space="preserve">Wireless Headphones</t>
  </si>
  <si>
    <t xml:space="preserve">Electronics</t>
  </si>
  <si>
    <t xml:space="preserve">TechSupply Co.</t>
  </si>
  <si>
    <t xml:space="preserve">Standing Desk</t>
  </si>
  <si>
    <t xml:space="preserve">Furniture</t>
  </si>
  <si>
    <t xml:space="preserve">OfficePlus Ltd.</t>
  </si>
  <si>
    <t xml:space="preserve">Ergonomic Chair</t>
  </si>
  <si>
    <t xml:space="preserve">4K Monitor</t>
  </si>
  <si>
    <t xml:space="preserve">USB Hub</t>
  </si>
  <si>
    <t xml:space="preserve">Gadgets Inc.</t>
  </si>
  <si>
    <t xml:space="preserve">Notebook (A5)</t>
  </si>
  <si>
    <t xml:space="preserve">Stationery</t>
  </si>
  <si>
    <t xml:space="preserve">PaperWorld</t>
  </si>
  <si>
    <t xml:space="preserve">Customer_Tier</t>
  </si>
  <si>
    <t xml:space="preserve">Email</t>
  </si>
  <si>
    <t xml:space="preserve">Country</t>
  </si>
  <si>
    <t xml:space="preserve">Join_Date</t>
  </si>
  <si>
    <t xml:space="preserve">Total_Orders</t>
  </si>
  <si>
    <t xml:space="preserve">Gold</t>
  </si>
  <si>
    <t xml:space="preserve">alice@example.com</t>
  </si>
  <si>
    <t xml:space="preserve">USA</t>
  </si>
  <si>
    <t xml:space="preserve">2022-03-10</t>
  </si>
  <si>
    <t xml:space="preserve">Bob Smith</t>
  </si>
  <si>
    <t xml:space="preserve">Silver</t>
  </si>
  <si>
    <t xml:space="preserve">bob@example.com</t>
  </si>
  <si>
    <t xml:space="preserve">2023-01-15</t>
  </si>
  <si>
    <t xml:space="preserve">Bronze</t>
  </si>
  <si>
    <t xml:space="preserve">carol@example.com</t>
  </si>
  <si>
    <t xml:space="preserve">Canada</t>
  </si>
  <si>
    <t xml:space="preserve">2023-06-01</t>
  </si>
  <si>
    <t xml:space="preserve">david@example.com</t>
  </si>
  <si>
    <t xml:space="preserve">UK</t>
  </si>
  <si>
    <t xml:space="preserve">2021-11-20</t>
  </si>
  <si>
    <t xml:space="preserve">Emma Brown</t>
  </si>
  <si>
    <t xml:space="preserve">emma@example.com</t>
  </si>
  <si>
    <t xml:space="preserve">2023-09-05</t>
  </si>
  <si>
    <t xml:space="preserve">Frank Miller</t>
  </si>
  <si>
    <t xml:space="preserve">frank@example.com</t>
  </si>
  <si>
    <t xml:space="preserve">Grace Kim</t>
  </si>
  <si>
    <t xml:space="preserve">grace@example.com</t>
  </si>
  <si>
    <t xml:space="preserve">2022-07-18</t>
  </si>
  <si>
    <t xml:space="preserve">Henry Jones</t>
  </si>
  <si>
    <t xml:space="preserve">henry@example.com</t>
  </si>
  <si>
    <t xml:space="preserve">2023-11-03</t>
  </si>
  <si>
    <t xml:space="preserve">isabel@example.com</t>
  </si>
  <si>
    <t xml:space="preserve">2021-05-14</t>
  </si>
  <si>
    <t xml:space="preserve">james@example.com</t>
  </si>
  <si>
    <t xml:space="preserve">2020-08-22</t>
  </si>
  <si>
    <t xml:space="preserve">SECTION A  ─  Basic Functions (SUM, AVERAGE, COUNT, IF)</t>
  </si>
  <si>
    <t xml:space="preserve">Metric</t>
  </si>
  <si>
    <t xml:space="preserve">Formula Used</t>
  </si>
  <si>
    <t xml:space="preserve">Result</t>
  </si>
  <si>
    <t xml:space="preserve">Total Orders</t>
  </si>
  <si>
    <t xml:space="preserve">Total Revenue</t>
  </si>
  <si>
    <t xml:space="preserve">Average Unit Price</t>
  </si>
  <si>
    <t xml:space="preserve">Max Order Quantity</t>
  </si>
  <si>
    <t xml:space="preserve">Min Order Quantity</t>
  </si>
  <si>
    <t xml:space="preserve">Shipped Orders</t>
  </si>
  <si>
    <t xml:space="preserve">Pending Orders</t>
  </si>
  <si>
    <t xml:space="preserve">High-Value Orders (&gt;$1000)</t>
  </si>
  <si>
    <t xml:space="preserve">SECTION B  ─  IF Function: Order Size Classification</t>
  </si>
  <si>
    <t xml:space="preserve">Order_Size (IF formula)</t>
  </si>
  <si>
    <t xml:space="preserve">Revenue</t>
  </si>
  <si>
    <t xml:space="preserve">Revenue_Band (nested IF)</t>
  </si>
  <si>
    <t xml:space="preserve">SECTION C  ─  VLOOKUP / XLOOKUP: Enrich Orders with Product Names</t>
  </si>
  <si>
    <t xml:space="preserve">Product_Name (VLOOKUP)</t>
  </si>
  <si>
    <t xml:space="preserve">Category (XLOOKUP)</t>
  </si>
  <si>
    <t xml:space="preserve">Unit_Price_Check (VLOOKUP)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</si>
</sst>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B7285"/>
      <name val="Arial"/>
      <family val="0"/>
      <charset val="1"/>
    </font>
    <font>
      <sz val="10"/>
      <name val="Arial"/>
      <family val="0"/>
      <charset val="1"/>
    </font>
    <font>
      <sz val="10"/>
      <color rgb="FF1A2B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Consolas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B728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B3E"/>
        <bgColor rgb="FF1A2B3C"/>
      </patternFill>
    </fill>
    <fill>
      <patternFill patternType="solid">
        <fgColor rgb="FF0B7285"/>
        <bgColor rgb="FF008080"/>
      </patternFill>
    </fill>
    <fill>
      <patternFill patternType="solid">
        <fgColor rgb="FFF0EBE3"/>
        <bgColor rgb="FFE8E8E8"/>
      </patternFill>
    </fill>
    <fill>
      <patternFill patternType="solid">
        <fgColor rgb="FFF2F2F2"/>
        <bgColor rgb="FFEAF6F8"/>
      </patternFill>
    </fill>
    <fill>
      <patternFill patternType="solid">
        <fgColor rgb="FFFFFFFF"/>
        <bgColor rgb="FFF2F2F2"/>
      </patternFill>
    </fill>
    <fill>
      <patternFill patternType="solid">
        <fgColor rgb="FFFFE4B5"/>
        <bgColor rgb="FFFDEBD0"/>
      </patternFill>
    </fill>
    <fill>
      <patternFill patternType="solid">
        <fgColor rgb="FFFFF3CD"/>
        <bgColor rgb="FFFDEBD0"/>
      </patternFill>
    </fill>
    <fill>
      <patternFill patternType="solid">
        <fgColor rgb="FFE8E8E8"/>
        <bgColor rgb="FFF0EBE3"/>
      </patternFill>
    </fill>
    <fill>
      <patternFill patternType="solid">
        <fgColor rgb="FFFDEBD0"/>
        <bgColor rgb="FFFFF3CD"/>
      </patternFill>
    </fill>
    <fill>
      <patternFill patternType="solid">
        <fgColor rgb="FFEAF6F8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D2B3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A2B3C"/>
        </patternFill>
      </fill>
    </dxf>
    <dxf>
      <fill>
        <patternFill patternType="solid">
          <fgColor rgb="FFFFE4B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F0EBE3"/>
      <rgbColor rgb="FF808080"/>
      <rgbColor rgb="FF9999FF"/>
      <rgbColor rgb="FF993366"/>
      <rgbColor rgb="FFFFF3CD"/>
      <rgbColor rgb="FFEA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DEBD0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D2B3E"/>
      <rgbColor rgb="FF339966"/>
      <rgbColor rgb="FF003300"/>
      <rgbColor rgb="FF1A2B3C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22.01"/>
    <col collapsed="false" customWidth="true" hidden="false" outlineLevel="0" max="2" min="2" style="1" width="37.99"/>
    <col collapsed="false" customWidth="true" hidden="false" outlineLevel="0" max="3" min="3" style="1" width="10"/>
    <col collapsed="false" customWidth="true" hidden="false" outlineLevel="0" max="4" min="4" style="1" width="40"/>
    <col collapsed="false" customWidth="true" hidden="false" outlineLevel="0" max="5" min="5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27.75" hidden="false" customHeight="true" outlineLevel="0" collapsed="false">
      <c r="A3" s="3" t="s">
        <v>1</v>
      </c>
      <c r="B3" s="3"/>
      <c r="C3" s="3"/>
      <c r="D3" s="3"/>
      <c r="E3" s="3"/>
    </row>
    <row r="4" customFormat="false" ht="19.5" hidden="false" customHeight="true" outlineLevel="0" collapsed="false">
      <c r="A4" s="4" t="s">
        <v>2</v>
      </c>
      <c r="B4" s="5" t="s">
        <v>3</v>
      </c>
      <c r="C4" s="5"/>
      <c r="D4" s="5"/>
      <c r="E4" s="5"/>
    </row>
    <row r="5" customFormat="false" ht="19.5" hidden="false" customHeight="true" outlineLevel="0" collapsed="false">
      <c r="A5" s="4" t="s">
        <v>4</v>
      </c>
      <c r="B5" s="6" t="s">
        <v>5</v>
      </c>
      <c r="C5" s="6"/>
      <c r="D5" s="6"/>
      <c r="E5" s="6"/>
    </row>
    <row r="6" customFormat="false" ht="19.5" hidden="false" customHeight="true" outlineLevel="0" collapsed="false">
      <c r="A6" s="4" t="s">
        <v>6</v>
      </c>
      <c r="B6" s="5" t="s">
        <v>7</v>
      </c>
      <c r="C6" s="5"/>
      <c r="D6" s="5"/>
      <c r="E6" s="5"/>
    </row>
    <row r="7" customFormat="false" ht="19.5" hidden="false" customHeight="true" outlineLevel="0" collapsed="false">
      <c r="A7" s="4" t="s">
        <v>8</v>
      </c>
      <c r="B7" s="6" t="s">
        <v>9</v>
      </c>
      <c r="C7" s="6"/>
      <c r="D7" s="6"/>
      <c r="E7" s="6"/>
    </row>
    <row r="8" customFormat="false" ht="19.5" hidden="false" customHeight="true" outlineLevel="0" collapsed="false">
      <c r="A8" s="4" t="s">
        <v>10</v>
      </c>
      <c r="B8" s="5" t="s">
        <v>11</v>
      </c>
      <c r="C8" s="5"/>
      <c r="D8" s="5"/>
      <c r="E8" s="5"/>
    </row>
    <row r="10" customFormat="false" ht="27.75" hidden="false" customHeight="true" outlineLevel="0" collapsed="false">
      <c r="A10" s="3" t="s">
        <v>12</v>
      </c>
      <c r="B10" s="3"/>
      <c r="C10" s="3"/>
      <c r="D10" s="3"/>
      <c r="E10" s="3"/>
    </row>
    <row r="11" customFormat="false" ht="18" hidden="false" customHeight="true" outlineLevel="0" collapsed="false">
      <c r="A11" s="7" t="s">
        <v>13</v>
      </c>
      <c r="B11" s="7"/>
      <c r="C11" s="7"/>
      <c r="D11" s="7"/>
      <c r="E11" s="7"/>
    </row>
    <row r="12" customFormat="false" ht="18" hidden="false" customHeight="true" outlineLevel="0" collapsed="false">
      <c r="A12" s="8" t="s">
        <v>14</v>
      </c>
      <c r="B12" s="8"/>
      <c r="C12" s="8"/>
      <c r="D12" s="8"/>
      <c r="E12" s="8"/>
    </row>
    <row r="13" customFormat="false" ht="18" hidden="false" customHeight="true" outlineLevel="0" collapsed="false">
      <c r="A13" s="7" t="s">
        <v>15</v>
      </c>
      <c r="B13" s="7"/>
      <c r="C13" s="7"/>
      <c r="D13" s="7"/>
      <c r="E13" s="7"/>
    </row>
    <row r="14" customFormat="false" ht="18" hidden="false" customHeight="true" outlineLevel="0" collapsed="false">
      <c r="A14" s="8" t="s">
        <v>16</v>
      </c>
      <c r="B14" s="8"/>
      <c r="C14" s="8"/>
      <c r="D14" s="8"/>
      <c r="E14" s="8"/>
    </row>
    <row r="15" customFormat="false" ht="18" hidden="false" customHeight="true" outlineLevel="0" collapsed="false">
      <c r="A15" s="7" t="s">
        <v>17</v>
      </c>
      <c r="B15" s="7"/>
      <c r="C15" s="7"/>
      <c r="D15" s="7"/>
      <c r="E15" s="7"/>
    </row>
    <row r="16" customFormat="false" ht="18" hidden="false" customHeight="true" outlineLevel="0" collapsed="false">
      <c r="A16" s="8" t="s">
        <v>18</v>
      </c>
      <c r="B16" s="8"/>
      <c r="C16" s="8"/>
      <c r="D16" s="8"/>
      <c r="E16" s="8"/>
    </row>
    <row r="17" customFormat="false" ht="18" hidden="false" customHeight="true" outlineLevel="0" collapsed="false">
      <c r="A17" s="7" t="s">
        <v>19</v>
      </c>
      <c r="B17" s="7"/>
      <c r="C17" s="7"/>
      <c r="D17" s="7"/>
      <c r="E17" s="7"/>
    </row>
    <row r="18" customFormat="false" ht="18" hidden="false" customHeight="true" outlineLevel="0" collapsed="false">
      <c r="A18" s="8" t="s">
        <v>20</v>
      </c>
      <c r="B18" s="8"/>
      <c r="C18" s="8"/>
      <c r="D18" s="8"/>
      <c r="E18" s="8"/>
    </row>
    <row r="20" customFormat="false" ht="27.75" hidden="false" customHeight="true" outlineLevel="0" collapsed="false">
      <c r="A20" s="3" t="s">
        <v>21</v>
      </c>
      <c r="B20" s="3"/>
      <c r="C20" s="3"/>
      <c r="D20" s="3"/>
      <c r="E20" s="3"/>
    </row>
    <row r="21" customFormat="false" ht="15" hidden="false" customHeight="true" outlineLevel="0" collapsed="false">
      <c r="A21" s="9" t="s">
        <v>22</v>
      </c>
      <c r="B21" s="9" t="s">
        <v>23</v>
      </c>
      <c r="C21" s="9"/>
      <c r="D21" s="9" t="s">
        <v>24</v>
      </c>
      <c r="E21" s="9"/>
    </row>
    <row r="22" customFormat="false" ht="18" hidden="false" customHeight="true" outlineLevel="0" collapsed="false">
      <c r="A22" s="10" t="s">
        <v>25</v>
      </c>
      <c r="B22" s="11" t="s">
        <v>26</v>
      </c>
      <c r="C22" s="11"/>
      <c r="D22" s="5" t="s">
        <v>27</v>
      </c>
      <c r="E22" s="5"/>
    </row>
    <row r="23" customFormat="false" ht="18" hidden="false" customHeight="true" outlineLevel="0" collapsed="false">
      <c r="A23" s="12" t="s">
        <v>28</v>
      </c>
      <c r="B23" s="13" t="s">
        <v>29</v>
      </c>
      <c r="C23" s="13"/>
      <c r="D23" s="6" t="s">
        <v>30</v>
      </c>
      <c r="E23" s="6"/>
    </row>
    <row r="24" customFormat="false" ht="18" hidden="false" customHeight="true" outlineLevel="0" collapsed="false">
      <c r="A24" s="10" t="s">
        <v>31</v>
      </c>
      <c r="B24" s="11" t="s">
        <v>32</v>
      </c>
      <c r="C24" s="11"/>
      <c r="D24" s="5" t="s">
        <v>33</v>
      </c>
      <c r="E24" s="5"/>
    </row>
    <row r="25" customFormat="false" ht="18" hidden="false" customHeight="true" outlineLevel="0" collapsed="false">
      <c r="A25" s="12" t="s">
        <v>34</v>
      </c>
      <c r="B25" s="13" t="s">
        <v>35</v>
      </c>
      <c r="C25" s="13"/>
      <c r="D25" s="6" t="s">
        <v>36</v>
      </c>
      <c r="E25" s="6"/>
    </row>
    <row r="26" customFormat="false" ht="18" hidden="false" customHeight="true" outlineLevel="0" collapsed="false">
      <c r="A26" s="10" t="s">
        <v>37</v>
      </c>
      <c r="B26" s="11" t="s">
        <v>38</v>
      </c>
      <c r="C26" s="11"/>
      <c r="D26" s="5" t="s">
        <v>39</v>
      </c>
      <c r="E26" s="5"/>
    </row>
    <row r="27" customFormat="false" ht="18" hidden="false" customHeight="true" outlineLevel="0" collapsed="false">
      <c r="A27" s="12" t="s">
        <v>40</v>
      </c>
      <c r="B27" s="13" t="s">
        <v>41</v>
      </c>
      <c r="C27" s="13"/>
      <c r="D27" s="6" t="s">
        <v>42</v>
      </c>
      <c r="E27" s="6"/>
    </row>
    <row r="28" customFormat="false" ht="18" hidden="false" customHeight="true" outlineLevel="0" collapsed="false">
      <c r="A28" s="10" t="s">
        <v>43</v>
      </c>
      <c r="B28" s="11" t="s">
        <v>44</v>
      </c>
      <c r="C28" s="11"/>
      <c r="D28" s="5" t="s">
        <v>45</v>
      </c>
      <c r="E28" s="5"/>
    </row>
    <row r="29" customFormat="false" ht="18" hidden="false" customHeight="true" outlineLevel="0" collapsed="false">
      <c r="A29" s="12" t="s">
        <v>46</v>
      </c>
      <c r="B29" s="13" t="s">
        <v>47</v>
      </c>
      <c r="C29" s="13"/>
      <c r="D29" s="6" t="s">
        <v>48</v>
      </c>
      <c r="E29" s="6"/>
    </row>
    <row r="30" customFormat="false" ht="18" hidden="false" customHeight="true" outlineLevel="0" collapsed="false">
      <c r="A30" s="10" t="s">
        <v>49</v>
      </c>
      <c r="B30" s="11" t="s">
        <v>50</v>
      </c>
      <c r="C30" s="11"/>
      <c r="D30" s="5" t="s">
        <v>51</v>
      </c>
      <c r="E30" s="5"/>
    </row>
    <row r="31" customFormat="false" ht="18" hidden="false" customHeight="true" outlineLevel="0" collapsed="false">
      <c r="A31" s="12" t="s">
        <v>52</v>
      </c>
      <c r="B31" s="13" t="s">
        <v>53</v>
      </c>
      <c r="C31" s="13"/>
      <c r="D31" s="6" t="s">
        <v>54</v>
      </c>
      <c r="E31" s="6"/>
    </row>
  </sheetData>
  <mergeCells count="39">
    <mergeCell ref="A1:E1"/>
    <mergeCell ref="A3:E3"/>
    <mergeCell ref="B4:E4"/>
    <mergeCell ref="B5:E5"/>
    <mergeCell ref="B6:E6"/>
    <mergeCell ref="B7:E7"/>
    <mergeCell ref="B8:E8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18" activePane="bottomLeft" state="frozen"/>
      <selection pane="topLeft" activeCell="F1" activeCellId="0" sqref="F1"/>
      <selection pane="bottomLeft" activeCell="M32" activeCellId="0" sqref="M32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14.01"/>
    <col collapsed="false" customWidth="true" hidden="false" outlineLevel="0" max="3" min="3" style="1" width="22.01"/>
    <col collapsed="false" customWidth="true" hidden="false" outlineLevel="0" max="4" min="4" style="1" width="10"/>
    <col collapsed="false" customWidth="true" hidden="false" outlineLevel="0" max="5" min="5" style="1" width="11.99"/>
    <col collapsed="false" customWidth="true" hidden="false" outlineLevel="0" max="6" min="6" style="1" width="10"/>
    <col collapsed="false" customWidth="true" hidden="false" outlineLevel="0" max="8" min="7" style="1" width="11.99"/>
    <col collapsed="false" customWidth="true" hidden="false" outlineLevel="0" max="9" min="9" style="1" width="19.99"/>
    <col collapsed="false" customWidth="true" hidden="false" outlineLevel="0" max="10" min="10" style="0" width="17.53"/>
    <col collapsed="false" customWidth="true" hidden="false" outlineLevel="0" max="11" min="11" style="0" width="15.92"/>
    <col collapsed="false" customWidth="true" hidden="false" outlineLevel="0" max="12" min="12" style="0" width="23.8"/>
    <col collapsed="false" customWidth="true" hidden="false" outlineLevel="0" max="13" min="13" style="0" width="23.44"/>
    <col collapsed="false" customWidth="true" hidden="false" outlineLevel="0" max="14" min="14" style="0" width="13.82"/>
  </cols>
  <sheetData>
    <row r="1" customFormat="false" ht="27.75" hidden="false" customHeight="true" outlineLevel="0" collapsed="false">
      <c r="A1" s="14" t="s">
        <v>55</v>
      </c>
      <c r="B1" s="14" t="s">
        <v>56</v>
      </c>
      <c r="C1" s="14" t="s">
        <v>57</v>
      </c>
      <c r="D1" s="14" t="s">
        <v>58</v>
      </c>
      <c r="E1" s="14" t="s">
        <v>59</v>
      </c>
      <c r="F1" s="14" t="s">
        <v>60</v>
      </c>
      <c r="G1" s="14" t="s">
        <v>61</v>
      </c>
      <c r="H1" s="14" t="s">
        <v>62</v>
      </c>
      <c r="I1" s="14" t="s">
        <v>63</v>
      </c>
    </row>
    <row r="2" customFormat="false" ht="15" hidden="false" customHeight="true" outlineLevel="0" collapsed="false">
      <c r="A2" s="15" t="s">
        <v>64</v>
      </c>
      <c r="B2" s="15" t="s">
        <v>65</v>
      </c>
      <c r="C2" s="15" t="s">
        <v>66</v>
      </c>
      <c r="D2" s="15" t="s">
        <v>67</v>
      </c>
      <c r="E2" s="15" t="s">
        <v>68</v>
      </c>
      <c r="F2" s="15" t="n">
        <v>10</v>
      </c>
      <c r="G2" s="15" t="n">
        <v>49.99</v>
      </c>
      <c r="H2" s="15" t="s">
        <v>69</v>
      </c>
      <c r="I2" s="15"/>
      <c r="J2" s="0" t="str">
        <f aca="false">TRIM(C2:C31)</f>
        <v>Alice Johnson</v>
      </c>
      <c r="K2" s="0" t="str">
        <f aca="false">UPPER(C2:C31)</f>
        <v>  ALICE JOHNSON </v>
      </c>
      <c r="L2" s="0" t="str">
        <f aca="false">VLOOKUP(E2,Products!$A:$F,2,0)</f>
        <v>Wireless Headphones</v>
      </c>
      <c r="M2" s="0" t="str">
        <f aca="false">VLOOKUP(E2,Products!$A:$F,6)</f>
        <v>TechSupply Co.</v>
      </c>
      <c r="N2" s="0" t="n">
        <f aca="false">VLOOKUP(E2,Products!$A:$F,4)</f>
        <v>49.99</v>
      </c>
    </row>
    <row r="3" customFormat="false" ht="15" hidden="false" customHeight="true" outlineLevel="0" collapsed="false">
      <c r="A3" s="16" t="s">
        <v>70</v>
      </c>
      <c r="B3" s="16" t="s">
        <v>71</v>
      </c>
      <c r="C3" s="16" t="s">
        <v>72</v>
      </c>
      <c r="D3" s="16" t="s">
        <v>73</v>
      </c>
      <c r="E3" s="16" t="s">
        <v>74</v>
      </c>
      <c r="F3" s="16" t="n">
        <v>5</v>
      </c>
      <c r="G3" s="16" t="n">
        <v>120</v>
      </c>
      <c r="H3" s="16" t="s">
        <v>75</v>
      </c>
      <c r="I3" s="16" t="s">
        <v>76</v>
      </c>
      <c r="J3" s="0" t="str">
        <f aca="false">TRIM(C3:C32)</f>
        <v>BOB SMITH</v>
      </c>
      <c r="K3" s="0" t="str">
        <f aca="false">UPPER(C3:C32)</f>
        <v>BOB SMITH</v>
      </c>
      <c r="L3" s="0" t="str">
        <f aca="false">VLOOKUP(E3,Products!$A:$F,2,0)</f>
        <v>Standing Desk</v>
      </c>
      <c r="M3" s="0" t="str">
        <f aca="false">VLOOKUP(E3,Products!$A:$F,6)</f>
        <v>OfficePlus Ltd.</v>
      </c>
      <c r="N3" s="0" t="n">
        <f aca="false">VLOOKUP(E3,Products!$A:$F,4)</f>
        <v>120</v>
      </c>
    </row>
    <row r="4" customFormat="false" ht="15" hidden="false" customHeight="true" outlineLevel="0" collapsed="false">
      <c r="A4" s="15" t="s">
        <v>77</v>
      </c>
      <c r="B4" s="15" t="s">
        <v>78</v>
      </c>
      <c r="C4" s="15" t="s">
        <v>79</v>
      </c>
      <c r="D4" s="15" t="s">
        <v>80</v>
      </c>
      <c r="E4" s="15" t="s">
        <v>81</v>
      </c>
      <c r="F4" s="15" t="n">
        <v>8</v>
      </c>
      <c r="G4" s="15" t="n">
        <v>75.5</v>
      </c>
      <c r="H4" s="15" t="s">
        <v>82</v>
      </c>
      <c r="I4" s="15"/>
      <c r="J4" s="0" t="str">
        <f aca="false">TRIM(C4:C33)</f>
        <v>carol white</v>
      </c>
      <c r="K4" s="0" t="str">
        <f aca="false">UPPER(C4:C33)</f>
        <v>CAROL WHITE</v>
      </c>
      <c r="L4" s="0" t="str">
        <f aca="false">VLOOKUP(E4,Products!$A:$F,2,0)</f>
        <v>Ergonomic Chair</v>
      </c>
      <c r="M4" s="0" t="str">
        <f aca="false">VLOOKUP(E4,Products!$A:$F,6)</f>
        <v>OfficePlus Ltd.</v>
      </c>
      <c r="N4" s="0" t="n">
        <f aca="false">VLOOKUP(E4,Products!$A:$F,4)</f>
        <v>75.5</v>
      </c>
    </row>
    <row r="5" customFormat="false" ht="15" hidden="false" customHeight="true" outlineLevel="0" collapsed="false">
      <c r="A5" s="16" t="s">
        <v>83</v>
      </c>
      <c r="B5" s="16" t="s">
        <v>84</v>
      </c>
      <c r="C5" s="16" t="s">
        <v>85</v>
      </c>
      <c r="D5" s="16" t="s">
        <v>86</v>
      </c>
      <c r="E5" s="16" t="s">
        <v>68</v>
      </c>
      <c r="F5" s="16" t="n">
        <v>12</v>
      </c>
      <c r="G5" s="16" t="n">
        <v>49.99</v>
      </c>
      <c r="H5" s="16" t="s">
        <v>69</v>
      </c>
      <c r="I5" s="16"/>
      <c r="J5" s="0" t="str">
        <f aca="false">TRIM(C5:C34)</f>
        <v>David Lee</v>
      </c>
      <c r="K5" s="0" t="str">
        <f aca="false">UPPER(C5:C34)</f>
        <v>DAVID LEE</v>
      </c>
      <c r="L5" s="0" t="str">
        <f aca="false">VLOOKUP(E5,Products!$A:$F,2,0)</f>
        <v>Wireless Headphones</v>
      </c>
      <c r="M5" s="0" t="str">
        <f aca="false">VLOOKUP(E5,Products!$A:$F,6)</f>
        <v>TechSupply Co.</v>
      </c>
      <c r="N5" s="0" t="n">
        <f aca="false">VLOOKUP(E5,Products!$A:$F,4)</f>
        <v>49.99</v>
      </c>
    </row>
    <row r="6" customFormat="false" ht="15" hidden="false" customHeight="true" outlineLevel="0" collapsed="false">
      <c r="A6" s="15" t="s">
        <v>87</v>
      </c>
      <c r="B6" s="15" t="s">
        <v>88</v>
      </c>
      <c r="C6" s="15" t="s">
        <v>89</v>
      </c>
      <c r="D6" s="15" t="s">
        <v>67</v>
      </c>
      <c r="E6" s="15" t="s">
        <v>90</v>
      </c>
      <c r="F6" s="15" t="n">
        <v>3</v>
      </c>
      <c r="G6" s="15" t="n">
        <v>200</v>
      </c>
      <c r="H6" s="15" t="s">
        <v>91</v>
      </c>
      <c r="I6" s="15" t="s">
        <v>92</v>
      </c>
      <c r="J6" s="0" t="str">
        <f aca="false">TRIM(C6:C35)</f>
        <v>Emma Brown</v>
      </c>
      <c r="K6" s="0" t="str">
        <f aca="false">UPPER(C6:C35)</f>
        <v>  EMMA BROWN  </v>
      </c>
      <c r="L6" s="0" t="str">
        <f aca="false">VLOOKUP(E6,Products!$A:$F,2,0)</f>
        <v>4K Monitor</v>
      </c>
      <c r="M6" s="0" t="str">
        <f aca="false">VLOOKUP(E6,Products!$A:$F,6)</f>
        <v>TechSupply Co.</v>
      </c>
      <c r="N6" s="0" t="n">
        <f aca="false">VLOOKUP(E6,Products!$A:$F,4)</f>
        <v>200</v>
      </c>
    </row>
    <row r="7" customFormat="false" ht="15" hidden="false" customHeight="true" outlineLevel="0" collapsed="false">
      <c r="A7" s="16" t="s">
        <v>93</v>
      </c>
      <c r="B7" s="16" t="s">
        <v>94</v>
      </c>
      <c r="C7" s="16" t="s">
        <v>95</v>
      </c>
      <c r="D7" s="16" t="s">
        <v>96</v>
      </c>
      <c r="E7" s="16" t="s">
        <v>74</v>
      </c>
      <c r="F7" s="16" t="n">
        <v>7</v>
      </c>
      <c r="G7" s="17" t="n">
        <v>120</v>
      </c>
      <c r="H7" s="16" t="s">
        <v>97</v>
      </c>
      <c r="I7" s="16"/>
      <c r="J7" s="0" t="str">
        <f aca="false">TRIM(C7:C36)</f>
        <v>FRANK MILLER</v>
      </c>
      <c r="K7" s="0" t="str">
        <f aca="false">UPPER(C7:C36)</f>
        <v>FRANK MILLER</v>
      </c>
      <c r="L7" s="0" t="str">
        <f aca="false">VLOOKUP(E7,Products!$A:$F,2,0)</f>
        <v>Standing Desk</v>
      </c>
      <c r="M7" s="0" t="str">
        <f aca="false">VLOOKUP(E7,Products!$A:$F,6)</f>
        <v>OfficePlus Ltd.</v>
      </c>
      <c r="N7" s="0" t="n">
        <f aca="false">VLOOKUP(E7,Products!$A:$F,4)</f>
        <v>120</v>
      </c>
    </row>
    <row r="8" customFormat="false" ht="15" hidden="false" customHeight="true" outlineLevel="0" collapsed="false">
      <c r="A8" s="15" t="s">
        <v>98</v>
      </c>
      <c r="B8" s="15" t="s">
        <v>99</v>
      </c>
      <c r="C8" s="15" t="s">
        <v>100</v>
      </c>
      <c r="D8" s="15" t="s">
        <v>80</v>
      </c>
      <c r="E8" s="15" t="s">
        <v>81</v>
      </c>
      <c r="F8" s="15" t="n">
        <v>6</v>
      </c>
      <c r="G8" s="15" t="n">
        <v>75.5</v>
      </c>
      <c r="H8" s="15" t="s">
        <v>82</v>
      </c>
      <c r="I8" s="15"/>
      <c r="J8" s="0" t="str">
        <f aca="false">TRIM(C8:C37)</f>
        <v>Grace Kim</v>
      </c>
      <c r="K8" s="0" t="str">
        <f aca="false">UPPER(C8:C37)</f>
        <v>GRACE KIM </v>
      </c>
      <c r="L8" s="0" t="str">
        <f aca="false">VLOOKUP(E8,Products!$A:$F,2,0)</f>
        <v>Ergonomic Chair</v>
      </c>
      <c r="M8" s="0" t="str">
        <f aca="false">VLOOKUP(E8,Products!$A:$F,6)</f>
        <v>OfficePlus Ltd.</v>
      </c>
      <c r="N8" s="0" t="n">
        <f aca="false">VLOOKUP(E8,Products!$A:$F,4)</f>
        <v>75.5</v>
      </c>
    </row>
    <row r="9" customFormat="false" ht="15" hidden="false" customHeight="true" outlineLevel="0" collapsed="false">
      <c r="A9" s="16" t="s">
        <v>101</v>
      </c>
      <c r="B9" s="16" t="s">
        <v>102</v>
      </c>
      <c r="C9" s="16" t="s">
        <v>103</v>
      </c>
      <c r="D9" s="16" t="s">
        <v>86</v>
      </c>
      <c r="E9" s="16" t="s">
        <v>104</v>
      </c>
      <c r="F9" s="16" t="n">
        <v>15</v>
      </c>
      <c r="G9" s="16" t="n">
        <v>35</v>
      </c>
      <c r="H9" s="16" t="s">
        <v>75</v>
      </c>
      <c r="I9" s="16"/>
      <c r="J9" s="0" t="str">
        <f aca="false">TRIM(C9:C38)</f>
        <v>henry jones</v>
      </c>
      <c r="K9" s="0" t="str">
        <f aca="false">UPPER(C9:C38)</f>
        <v>HENRY JONES</v>
      </c>
      <c r="L9" s="0" t="str">
        <f aca="false">VLOOKUP(E9,Products!$A:$F,2,0)</f>
        <v>USB Hub</v>
      </c>
      <c r="M9" s="0" t="str">
        <f aca="false">VLOOKUP(E9,Products!$A:$F,6)</f>
        <v>Gadgets Inc.</v>
      </c>
      <c r="N9" s="0" t="n">
        <f aca="false">VLOOKUP(E9,Products!$A:$F,4)</f>
        <v>35</v>
      </c>
    </row>
    <row r="10" customFormat="false" ht="15" hidden="false" customHeight="true" outlineLevel="0" collapsed="false">
      <c r="A10" s="15" t="s">
        <v>105</v>
      </c>
      <c r="B10" s="15" t="s">
        <v>106</v>
      </c>
      <c r="C10" s="15" t="s">
        <v>107</v>
      </c>
      <c r="D10" s="15" t="s">
        <v>67</v>
      </c>
      <c r="E10" s="15" t="s">
        <v>68</v>
      </c>
      <c r="F10" s="15" t="n">
        <v>9</v>
      </c>
      <c r="G10" s="15" t="n">
        <v>49.99</v>
      </c>
      <c r="H10" s="15" t="s">
        <v>69</v>
      </c>
      <c r="I10" s="15"/>
      <c r="J10" s="0" t="str">
        <f aca="false">TRIM(C10:C39)</f>
        <v>Isabel Tan</v>
      </c>
      <c r="K10" s="0" t="str">
        <f aca="false">UPPER(C10:C39)</f>
        <v>ISABEL TAN</v>
      </c>
      <c r="L10" s="0" t="str">
        <f aca="false">VLOOKUP(E10,Products!$A:$F,2,0)</f>
        <v>Wireless Headphones</v>
      </c>
      <c r="M10" s="0" t="str">
        <f aca="false">VLOOKUP(E10,Products!$A:$F,6)</f>
        <v>TechSupply Co.</v>
      </c>
      <c r="N10" s="0" t="n">
        <f aca="false">VLOOKUP(E10,Products!$A:$F,4)</f>
        <v>49.99</v>
      </c>
    </row>
    <row r="11" customFormat="false" ht="15" hidden="false" customHeight="true" outlineLevel="0" collapsed="false">
      <c r="A11" s="16" t="s">
        <v>108</v>
      </c>
      <c r="B11" s="16" t="s">
        <v>109</v>
      </c>
      <c r="C11" s="16" t="s">
        <v>110</v>
      </c>
      <c r="D11" s="16" t="s">
        <v>73</v>
      </c>
      <c r="E11" s="16" t="s">
        <v>90</v>
      </c>
      <c r="F11" s="16" t="n">
        <v>4</v>
      </c>
      <c r="G11" s="16" t="n">
        <v>200</v>
      </c>
      <c r="H11" s="16" t="s">
        <v>82</v>
      </c>
      <c r="I11" s="16" t="s">
        <v>111</v>
      </c>
      <c r="J11" s="0" t="str">
        <f aca="false">TRIM(C11:C40)</f>
        <v>James Wu</v>
      </c>
      <c r="K11" s="0" t="str">
        <f aca="false">UPPER(C11:C40)</f>
        <v>JAMES WU</v>
      </c>
      <c r="L11" s="0" t="str">
        <f aca="false">VLOOKUP(E11,Products!$A:$F,2,0)</f>
        <v>4K Monitor</v>
      </c>
      <c r="M11" s="0" t="str">
        <f aca="false">VLOOKUP(E11,Products!$A:$F,6)</f>
        <v>TechSupply Co.</v>
      </c>
      <c r="N11" s="0" t="n">
        <f aca="false">VLOOKUP(E11,Products!$A:$F,4)</f>
        <v>200</v>
      </c>
    </row>
    <row r="12" customFormat="false" ht="15" hidden="false" customHeight="true" outlineLevel="0" collapsed="false">
      <c r="A12" s="15" t="s">
        <v>112</v>
      </c>
      <c r="B12" s="15" t="s">
        <v>113</v>
      </c>
      <c r="C12" s="15" t="s">
        <v>66</v>
      </c>
      <c r="D12" s="15" t="s">
        <v>67</v>
      </c>
      <c r="E12" s="15" t="s">
        <v>68</v>
      </c>
      <c r="F12" s="15" t="n">
        <v>10</v>
      </c>
      <c r="G12" s="15" t="n">
        <v>49.99</v>
      </c>
      <c r="H12" s="15" t="s">
        <v>69</v>
      </c>
      <c r="I12" s="15"/>
      <c r="J12" s="0" t="str">
        <f aca="false">TRIM(C12:C41)</f>
        <v>Alice Johnson</v>
      </c>
      <c r="K12" s="0" t="str">
        <f aca="false">UPPER(C12:C41)</f>
        <v>  ALICE JOHNSON </v>
      </c>
      <c r="L12" s="0" t="str">
        <f aca="false">VLOOKUP(E12,Products!$A:$F,2,0)</f>
        <v>Wireless Headphones</v>
      </c>
      <c r="M12" s="0" t="str">
        <f aca="false">VLOOKUP(E12,Products!$A:$F,6)</f>
        <v>TechSupply Co.</v>
      </c>
      <c r="N12" s="0" t="n">
        <f aca="false">VLOOKUP(E12,Products!$A:$F,4)</f>
        <v>49.99</v>
      </c>
    </row>
    <row r="13" customFormat="false" ht="15" hidden="false" customHeight="true" outlineLevel="0" collapsed="false">
      <c r="A13" s="16" t="s">
        <v>114</v>
      </c>
      <c r="B13" s="16" t="s">
        <v>115</v>
      </c>
      <c r="C13" s="16" t="s">
        <v>116</v>
      </c>
      <c r="D13" s="16" t="s">
        <v>80</v>
      </c>
      <c r="E13" s="16" t="s">
        <v>117</v>
      </c>
      <c r="F13" s="16" t="n">
        <v>20</v>
      </c>
      <c r="G13" s="16" t="n">
        <v>22</v>
      </c>
      <c r="H13" s="16" t="s">
        <v>75</v>
      </c>
      <c r="I13" s="16"/>
      <c r="J13" s="0" t="str">
        <f aca="false">TRIM(C13:C42)</f>
        <v>Karen Patel</v>
      </c>
      <c r="K13" s="0" t="str">
        <f aca="false">UPPER(C13:C42)</f>
        <v>KAREN PATEL</v>
      </c>
      <c r="L13" s="0" t="str">
        <f aca="false">VLOOKUP(E13,Products!$A:$F,2,0)</f>
        <v>Notebook (A5)</v>
      </c>
      <c r="M13" s="0" t="str">
        <f aca="false">VLOOKUP(E13,Products!$A:$F,6)</f>
        <v>PaperWorld</v>
      </c>
      <c r="N13" s="0" t="n">
        <f aca="false">VLOOKUP(E13,Products!$A:$F,4)</f>
        <v>22</v>
      </c>
    </row>
    <row r="14" customFormat="false" ht="15" hidden="false" customHeight="true" outlineLevel="0" collapsed="false">
      <c r="A14" s="15" t="s">
        <v>118</v>
      </c>
      <c r="B14" s="15" t="s">
        <v>119</v>
      </c>
      <c r="C14" s="15" t="s">
        <v>120</v>
      </c>
      <c r="D14" s="15" t="s">
        <v>86</v>
      </c>
      <c r="E14" s="15" t="s">
        <v>74</v>
      </c>
      <c r="F14" s="15" t="n">
        <v>8</v>
      </c>
      <c r="G14" s="15" t="n">
        <v>120</v>
      </c>
      <c r="H14" s="15" t="s">
        <v>69</v>
      </c>
      <c r="I14" s="15"/>
      <c r="J14" s="0" t="str">
        <f aca="false">TRIM(C14:C43)</f>
        <v>LIAM CHEN</v>
      </c>
      <c r="K14" s="0" t="str">
        <f aca="false">UPPER(C14:C43)</f>
        <v>LIAM CHEN</v>
      </c>
      <c r="L14" s="0" t="str">
        <f aca="false">VLOOKUP(E14,Products!$A:$F,2,0)</f>
        <v>Standing Desk</v>
      </c>
      <c r="M14" s="0" t="str">
        <f aca="false">VLOOKUP(E14,Products!$A:$F,6)</f>
        <v>OfficePlus Ltd.</v>
      </c>
      <c r="N14" s="0" t="n">
        <f aca="false">VLOOKUP(E14,Products!$A:$F,4)</f>
        <v>120</v>
      </c>
    </row>
    <row r="15" customFormat="false" ht="15" hidden="false" customHeight="true" outlineLevel="0" collapsed="false">
      <c r="A15" s="16" t="s">
        <v>121</v>
      </c>
      <c r="B15" s="16" t="s">
        <v>122</v>
      </c>
      <c r="C15" s="16" t="s">
        <v>123</v>
      </c>
      <c r="D15" s="16" t="s">
        <v>67</v>
      </c>
      <c r="E15" s="16" t="s">
        <v>81</v>
      </c>
      <c r="F15" s="16" t="n">
        <v>11</v>
      </c>
      <c r="G15" s="16" t="n">
        <v>75.5</v>
      </c>
      <c r="H15" s="16" t="s">
        <v>82</v>
      </c>
      <c r="I15" s="16"/>
      <c r="J15" s="0" t="str">
        <f aca="false">TRIM(C15:C44)</f>
        <v>Mia Russo</v>
      </c>
      <c r="K15" s="0" t="str">
        <f aca="false">UPPER(C15:C44)</f>
        <v>MIA RUSSO</v>
      </c>
      <c r="L15" s="0" t="str">
        <f aca="false">VLOOKUP(E15,Products!$A:$F,2,0)</f>
        <v>Ergonomic Chair</v>
      </c>
      <c r="M15" s="0" t="str">
        <f aca="false">VLOOKUP(E15,Products!$A:$F,6)</f>
        <v>OfficePlus Ltd.</v>
      </c>
      <c r="N15" s="0" t="n">
        <f aca="false">VLOOKUP(E15,Products!$A:$F,4)</f>
        <v>75.5</v>
      </c>
    </row>
    <row r="16" customFormat="false" ht="15" hidden="false" customHeight="true" outlineLevel="0" collapsed="false">
      <c r="A16" s="15" t="s">
        <v>124</v>
      </c>
      <c r="B16" s="15" t="s">
        <v>125</v>
      </c>
      <c r="C16" s="15" t="s">
        <v>126</v>
      </c>
      <c r="D16" s="15" t="s">
        <v>73</v>
      </c>
      <c r="E16" s="15" t="s">
        <v>104</v>
      </c>
      <c r="F16" s="15" t="n">
        <v>6</v>
      </c>
      <c r="G16" s="15" t="n">
        <v>35</v>
      </c>
      <c r="H16" s="15" t="s">
        <v>91</v>
      </c>
      <c r="I16" s="15" t="s">
        <v>127</v>
      </c>
      <c r="J16" s="0" t="str">
        <f aca="false">TRIM(C16:C45)</f>
        <v>noah kim</v>
      </c>
      <c r="K16" s="0" t="str">
        <f aca="false">UPPER(C16:C45)</f>
        <v>NOAH KIM</v>
      </c>
      <c r="L16" s="0" t="str">
        <f aca="false">VLOOKUP(E16,Products!$A:$F,2,0)</f>
        <v>USB Hub</v>
      </c>
      <c r="M16" s="0" t="str">
        <f aca="false">VLOOKUP(E16,Products!$A:$F,6)</f>
        <v>Gadgets Inc.</v>
      </c>
      <c r="N16" s="0" t="n">
        <f aca="false">VLOOKUP(E16,Products!$A:$F,4)</f>
        <v>35</v>
      </c>
    </row>
    <row r="17" customFormat="false" ht="15" hidden="false" customHeight="true" outlineLevel="0" collapsed="false">
      <c r="A17" s="16" t="s">
        <v>128</v>
      </c>
      <c r="B17" s="16" t="s">
        <v>129</v>
      </c>
      <c r="C17" s="16" t="s">
        <v>130</v>
      </c>
      <c r="D17" s="16" t="s">
        <v>80</v>
      </c>
      <c r="E17" s="16" t="s">
        <v>90</v>
      </c>
      <c r="F17" s="16" t="n">
        <v>7</v>
      </c>
      <c r="G17" s="16" t="n">
        <v>200</v>
      </c>
      <c r="H17" s="16" t="s">
        <v>69</v>
      </c>
      <c r="I17" s="16"/>
      <c r="J17" s="0" t="str">
        <f aca="false">TRIM(C17:C46)</f>
        <v>Olivia Park</v>
      </c>
      <c r="K17" s="0" t="str">
        <f aca="false">UPPER(C17:C46)</f>
        <v>OLIVIA PARK</v>
      </c>
      <c r="L17" s="0" t="str">
        <f aca="false">VLOOKUP(E17,Products!$A:$F,2,0)</f>
        <v>4K Monitor</v>
      </c>
      <c r="M17" s="0" t="str">
        <f aca="false">VLOOKUP(E17,Products!$A:$F,6)</f>
        <v>TechSupply Co.</v>
      </c>
      <c r="N17" s="0" t="n">
        <f aca="false">VLOOKUP(E17,Products!$A:$F,4)</f>
        <v>200</v>
      </c>
    </row>
    <row r="18" customFormat="false" ht="15" hidden="false" customHeight="true" outlineLevel="0" collapsed="false">
      <c r="A18" s="15" t="s">
        <v>131</v>
      </c>
      <c r="B18" s="15" t="s">
        <v>132</v>
      </c>
      <c r="C18" s="15" t="s">
        <v>133</v>
      </c>
      <c r="D18" s="15" t="s">
        <v>86</v>
      </c>
      <c r="E18" s="15" t="s">
        <v>117</v>
      </c>
      <c r="F18" s="15" t="n">
        <v>25</v>
      </c>
      <c r="G18" s="15" t="n">
        <v>22</v>
      </c>
      <c r="H18" s="15" t="s">
        <v>75</v>
      </c>
      <c r="I18" s="15"/>
      <c r="J18" s="0" t="str">
        <f aca="false">TRIM(C18:C47)</f>
        <v>Peter Grant</v>
      </c>
      <c r="K18" s="0" t="str">
        <f aca="false">UPPER(C18:C47)</f>
        <v>PETER GRANT</v>
      </c>
      <c r="L18" s="0" t="str">
        <f aca="false">VLOOKUP(E18,Products!$A:$F,2,0)</f>
        <v>Notebook (A5)</v>
      </c>
      <c r="M18" s="0" t="str">
        <f aca="false">VLOOKUP(E18,Products!$A:$F,6)</f>
        <v>PaperWorld</v>
      </c>
      <c r="N18" s="0" t="n">
        <f aca="false">VLOOKUP(E18,Products!$A:$F,4)</f>
        <v>22</v>
      </c>
    </row>
    <row r="19" customFormat="false" ht="15" hidden="false" customHeight="true" outlineLevel="0" collapsed="false">
      <c r="A19" s="16" t="s">
        <v>134</v>
      </c>
      <c r="B19" s="16" t="s">
        <v>135</v>
      </c>
      <c r="C19" s="16" t="s">
        <v>136</v>
      </c>
      <c r="D19" s="16" t="s">
        <v>67</v>
      </c>
      <c r="E19" s="16" t="s">
        <v>68</v>
      </c>
      <c r="F19" s="16" t="n">
        <v>5</v>
      </c>
      <c r="G19" s="17" t="n">
        <v>49.99</v>
      </c>
      <c r="H19" s="16" t="s">
        <v>82</v>
      </c>
      <c r="I19" s="16"/>
      <c r="J19" s="0" t="str">
        <f aca="false">TRIM(C19:C48)</f>
        <v>Quinn Adams</v>
      </c>
      <c r="K19" s="0" t="str">
        <f aca="false">UPPER(C19:C48)</f>
        <v>QUINN ADAMS</v>
      </c>
      <c r="L19" s="0" t="str">
        <f aca="false">VLOOKUP(E19,Products!$A:$F,2,0)</f>
        <v>Wireless Headphones</v>
      </c>
      <c r="M19" s="0" t="str">
        <f aca="false">VLOOKUP(E19,Products!$A:$F,6)</f>
        <v>TechSupply Co.</v>
      </c>
      <c r="N19" s="0" t="n">
        <f aca="false">VLOOKUP(E19,Products!$A:$F,4)</f>
        <v>49.99</v>
      </c>
    </row>
    <row r="20" customFormat="false" ht="15" hidden="false" customHeight="true" outlineLevel="0" collapsed="false">
      <c r="A20" s="15" t="s">
        <v>137</v>
      </c>
      <c r="B20" s="15" t="s">
        <v>138</v>
      </c>
      <c r="C20" s="15" t="s">
        <v>139</v>
      </c>
      <c r="D20" s="15" t="s">
        <v>73</v>
      </c>
      <c r="E20" s="15" t="s">
        <v>74</v>
      </c>
      <c r="F20" s="15" t="n">
        <v>14</v>
      </c>
      <c r="G20" s="15" t="n">
        <v>120</v>
      </c>
      <c r="H20" s="15" t="s">
        <v>69</v>
      </c>
      <c r="I20" s="15"/>
      <c r="J20" s="0" t="str">
        <f aca="false">TRIM(C20:C49)</f>
        <v>Rachel Scott</v>
      </c>
      <c r="K20" s="0" t="str">
        <f aca="false">UPPER(C20:C49)</f>
        <v>RACHEL SCOTT</v>
      </c>
      <c r="L20" s="0" t="str">
        <f aca="false">VLOOKUP(E20,Products!$A:$F,2,0)</f>
        <v>Standing Desk</v>
      </c>
      <c r="M20" s="0" t="str">
        <f aca="false">VLOOKUP(E20,Products!$A:$F,6)</f>
        <v>OfficePlus Ltd.</v>
      </c>
      <c r="N20" s="0" t="n">
        <f aca="false">VLOOKUP(E20,Products!$A:$F,4)</f>
        <v>120</v>
      </c>
    </row>
    <row r="21" customFormat="false" ht="15" hidden="false" customHeight="true" outlineLevel="0" collapsed="false">
      <c r="A21" s="16" t="s">
        <v>140</v>
      </c>
      <c r="B21" s="16" t="s">
        <v>141</v>
      </c>
      <c r="C21" s="16" t="s">
        <v>142</v>
      </c>
      <c r="D21" s="16" t="s">
        <v>80</v>
      </c>
      <c r="E21" s="16" t="s">
        <v>81</v>
      </c>
      <c r="F21" s="16" t="n">
        <v>9</v>
      </c>
      <c r="G21" s="16" t="n">
        <v>75.5</v>
      </c>
      <c r="H21" s="16" t="s">
        <v>82</v>
      </c>
      <c r="I21" s="16"/>
      <c r="J21" s="0" t="str">
        <f aca="false">TRIM(C21:C50)</f>
        <v>Sam Torres</v>
      </c>
      <c r="K21" s="0" t="str">
        <f aca="false">UPPER(C21:C50)</f>
        <v>SAM TORRES</v>
      </c>
      <c r="L21" s="0" t="str">
        <f aca="false">VLOOKUP(E21,Products!$A:$F,2,0)</f>
        <v>Ergonomic Chair</v>
      </c>
      <c r="M21" s="0" t="str">
        <f aca="false">VLOOKUP(E21,Products!$A:$F,6)</f>
        <v>OfficePlus Ltd.</v>
      </c>
      <c r="N21" s="0" t="n">
        <f aca="false">VLOOKUP(E21,Products!$A:$F,4)</f>
        <v>75.5</v>
      </c>
    </row>
    <row r="22" customFormat="false" ht="15" hidden="false" customHeight="true" outlineLevel="0" collapsed="false">
      <c r="A22" s="15" t="s">
        <v>143</v>
      </c>
      <c r="B22" s="15" t="s">
        <v>144</v>
      </c>
      <c r="C22" s="15" t="s">
        <v>145</v>
      </c>
      <c r="D22" s="15" t="s">
        <v>86</v>
      </c>
      <c r="E22" s="15" t="s">
        <v>104</v>
      </c>
      <c r="F22" s="15" t="n">
        <v>3</v>
      </c>
      <c r="G22" s="15" t="n">
        <v>35</v>
      </c>
      <c r="H22" s="15" t="s">
        <v>75</v>
      </c>
      <c r="I22" s="15"/>
      <c r="J22" s="0" t="str">
        <f aca="false">TRIM(C22:C51)</f>
        <v>Tina Bell</v>
      </c>
      <c r="K22" s="0" t="str">
        <f aca="false">UPPER(C22:C51)</f>
        <v>TINA BELL</v>
      </c>
      <c r="L22" s="0" t="str">
        <f aca="false">VLOOKUP(E22,Products!$A:$F,2,0)</f>
        <v>USB Hub</v>
      </c>
      <c r="M22" s="0" t="str">
        <f aca="false">VLOOKUP(E22,Products!$A:$F,6)</f>
        <v>Gadgets Inc.</v>
      </c>
      <c r="N22" s="0" t="n">
        <f aca="false">VLOOKUP(E22,Products!$A:$F,4)</f>
        <v>35</v>
      </c>
    </row>
    <row r="23" customFormat="false" ht="15" hidden="false" customHeight="true" outlineLevel="0" collapsed="false">
      <c r="A23" s="16" t="s">
        <v>146</v>
      </c>
      <c r="B23" s="16" t="s">
        <v>147</v>
      </c>
      <c r="C23" s="16" t="s">
        <v>148</v>
      </c>
      <c r="D23" s="16" t="s">
        <v>67</v>
      </c>
      <c r="E23" s="16" t="s">
        <v>90</v>
      </c>
      <c r="F23" s="16" t="n">
        <v>6</v>
      </c>
      <c r="G23" s="16" t="n">
        <v>200</v>
      </c>
      <c r="H23" s="16" t="s">
        <v>69</v>
      </c>
      <c r="I23" s="16"/>
      <c r="J23" s="0" t="str">
        <f aca="false">TRIM(C23:C52)</f>
        <v>Uma Singh</v>
      </c>
      <c r="K23" s="0" t="str">
        <f aca="false">UPPER(C23:C52)</f>
        <v>UMA SINGH</v>
      </c>
      <c r="L23" s="0" t="str">
        <f aca="false">VLOOKUP(E23,Products!$A:$F,2,0)</f>
        <v>4K Monitor</v>
      </c>
      <c r="M23" s="0" t="str">
        <f aca="false">VLOOKUP(E23,Products!$A:$F,6)</f>
        <v>TechSupply Co.</v>
      </c>
      <c r="N23" s="0" t="n">
        <f aca="false">VLOOKUP(E23,Products!$A:$F,4)</f>
        <v>200</v>
      </c>
    </row>
    <row r="24" customFormat="false" ht="15" hidden="false" customHeight="true" outlineLevel="0" collapsed="false">
      <c r="A24" s="15" t="s">
        <v>149</v>
      </c>
      <c r="B24" s="15" t="s">
        <v>150</v>
      </c>
      <c r="C24" s="15" t="s">
        <v>151</v>
      </c>
      <c r="D24" s="15" t="s">
        <v>73</v>
      </c>
      <c r="E24" s="15" t="s">
        <v>117</v>
      </c>
      <c r="F24" s="15" t="n">
        <v>18</v>
      </c>
      <c r="G24" s="15" t="n">
        <v>22</v>
      </c>
      <c r="H24" s="15" t="s">
        <v>91</v>
      </c>
      <c r="I24" s="15"/>
      <c r="J24" s="0" t="str">
        <f aca="false">TRIM(C24:C53)</f>
        <v>Victor Ng</v>
      </c>
      <c r="K24" s="0" t="str">
        <f aca="false">UPPER(C24:C53)</f>
        <v>VICTOR NG</v>
      </c>
      <c r="L24" s="0" t="str">
        <f aca="false">VLOOKUP(E24,Products!$A:$F,2,0)</f>
        <v>Notebook (A5)</v>
      </c>
      <c r="M24" s="0" t="str">
        <f aca="false">VLOOKUP(E24,Products!$A:$F,6)</f>
        <v>PaperWorld</v>
      </c>
      <c r="N24" s="0" t="n">
        <f aca="false">VLOOKUP(E24,Products!$A:$F,4)</f>
        <v>22</v>
      </c>
    </row>
    <row r="25" customFormat="false" ht="15" hidden="false" customHeight="true" outlineLevel="0" collapsed="false">
      <c r="A25" s="16" t="s">
        <v>152</v>
      </c>
      <c r="B25" s="16" t="s">
        <v>153</v>
      </c>
      <c r="C25" s="16" t="s">
        <v>154</v>
      </c>
      <c r="D25" s="16" t="s">
        <v>80</v>
      </c>
      <c r="E25" s="16" t="s">
        <v>68</v>
      </c>
      <c r="F25" s="16" t="n">
        <v>7</v>
      </c>
      <c r="G25" s="16" t="n">
        <v>49.99</v>
      </c>
      <c r="H25" s="16" t="s">
        <v>82</v>
      </c>
      <c r="I25" s="16"/>
      <c r="J25" s="0" t="str">
        <f aca="false">TRIM(C25:C54)</f>
        <v>Wendy Fox</v>
      </c>
      <c r="K25" s="0" t="str">
        <f aca="false">UPPER(C25:C54)</f>
        <v>  WENDY FOX  </v>
      </c>
      <c r="L25" s="0" t="str">
        <f aca="false">VLOOKUP(E25,Products!$A:$F,2,0)</f>
        <v>Wireless Headphones</v>
      </c>
      <c r="M25" s="0" t="str">
        <f aca="false">VLOOKUP(E25,Products!$A:$F,6)</f>
        <v>TechSupply Co.</v>
      </c>
      <c r="N25" s="0" t="n">
        <f aca="false">VLOOKUP(E25,Products!$A:$F,4)</f>
        <v>49.99</v>
      </c>
    </row>
    <row r="26" customFormat="false" ht="15" hidden="false" customHeight="true" outlineLevel="0" collapsed="false">
      <c r="A26" s="15" t="s">
        <v>155</v>
      </c>
      <c r="B26" s="15" t="s">
        <v>156</v>
      </c>
      <c r="C26" s="15" t="s">
        <v>157</v>
      </c>
      <c r="D26" s="15" t="s">
        <v>86</v>
      </c>
      <c r="E26" s="15" t="s">
        <v>74</v>
      </c>
      <c r="F26" s="15" t="n">
        <v>10</v>
      </c>
      <c r="G26" s="15" t="n">
        <v>120</v>
      </c>
      <c r="H26" s="15" t="s">
        <v>69</v>
      </c>
      <c r="I26" s="15"/>
      <c r="J26" s="0" t="str">
        <f aca="false">TRIM(C26:C55)</f>
        <v>XANDER HILL</v>
      </c>
      <c r="K26" s="0" t="str">
        <f aca="false">UPPER(C26:C55)</f>
        <v>XANDER HILL</v>
      </c>
      <c r="L26" s="0" t="str">
        <f aca="false">VLOOKUP(E26,Products!$A:$F,2,0)</f>
        <v>Standing Desk</v>
      </c>
      <c r="M26" s="0" t="str">
        <f aca="false">VLOOKUP(E26,Products!$A:$F,6)</f>
        <v>OfficePlus Ltd.</v>
      </c>
      <c r="N26" s="0" t="n">
        <f aca="false">VLOOKUP(E26,Products!$A:$F,4)</f>
        <v>120</v>
      </c>
    </row>
    <row r="27" customFormat="false" ht="15" hidden="false" customHeight="true" outlineLevel="0" collapsed="false">
      <c r="A27" s="16" t="s">
        <v>158</v>
      </c>
      <c r="B27" s="16" t="s">
        <v>159</v>
      </c>
      <c r="C27" s="16" t="s">
        <v>160</v>
      </c>
      <c r="D27" s="16" t="s">
        <v>67</v>
      </c>
      <c r="E27" s="16" t="s">
        <v>81</v>
      </c>
      <c r="F27" s="16" t="n">
        <v>4</v>
      </c>
      <c r="G27" s="16" t="n">
        <v>75.5</v>
      </c>
      <c r="H27" s="16" t="s">
        <v>75</v>
      </c>
      <c r="I27" s="16"/>
      <c r="J27" s="0" t="str">
        <f aca="false">TRIM(C27:C56)</f>
        <v>Yara Osei</v>
      </c>
      <c r="K27" s="0" t="str">
        <f aca="false">UPPER(C27:C56)</f>
        <v>YARA OSEI</v>
      </c>
      <c r="L27" s="0" t="str">
        <f aca="false">VLOOKUP(E27,Products!$A:$F,2,0)</f>
        <v>Ergonomic Chair</v>
      </c>
      <c r="M27" s="0" t="str">
        <f aca="false">VLOOKUP(E27,Products!$A:$F,6)</f>
        <v>OfficePlus Ltd.</v>
      </c>
      <c r="N27" s="0" t="n">
        <f aca="false">VLOOKUP(E27,Products!$A:$F,4)</f>
        <v>75.5</v>
      </c>
    </row>
    <row r="28" customFormat="false" ht="15" hidden="false" customHeight="true" outlineLevel="0" collapsed="false">
      <c r="A28" s="15" t="s">
        <v>161</v>
      </c>
      <c r="B28" s="15" t="s">
        <v>162</v>
      </c>
      <c r="C28" s="15" t="s">
        <v>163</v>
      </c>
      <c r="D28" s="15" t="s">
        <v>73</v>
      </c>
      <c r="E28" s="15" t="s">
        <v>90</v>
      </c>
      <c r="F28" s="15" t="n">
        <v>8</v>
      </c>
      <c r="G28" s="15" t="n">
        <v>200</v>
      </c>
      <c r="H28" s="15" t="s">
        <v>82</v>
      </c>
      <c r="I28" s="15"/>
      <c r="J28" s="0" t="str">
        <f aca="false">TRIM(C28:C57)</f>
        <v>Zoe Clark</v>
      </c>
      <c r="K28" s="0" t="str">
        <f aca="false">UPPER(C28:C57)</f>
        <v>ZOE CLARK</v>
      </c>
      <c r="L28" s="0" t="str">
        <f aca="false">VLOOKUP(E28,Products!$A:$F,2,0)</f>
        <v>4K Monitor</v>
      </c>
      <c r="M28" s="0" t="str">
        <f aca="false">VLOOKUP(E28,Products!$A:$F,6)</f>
        <v>TechSupply Co.</v>
      </c>
      <c r="N28" s="0" t="n">
        <f aca="false">VLOOKUP(E28,Products!$A:$F,4)</f>
        <v>200</v>
      </c>
    </row>
    <row r="29" customFormat="false" ht="15" hidden="false" customHeight="true" outlineLevel="0" collapsed="false">
      <c r="A29" s="16" t="s">
        <v>164</v>
      </c>
      <c r="B29" s="16" t="s">
        <v>165</v>
      </c>
      <c r="C29" s="16" t="s">
        <v>166</v>
      </c>
      <c r="D29" s="16" t="s">
        <v>67</v>
      </c>
      <c r="E29" s="16" t="s">
        <v>104</v>
      </c>
      <c r="F29" s="16" t="n">
        <v>12</v>
      </c>
      <c r="G29" s="16" t="n">
        <v>35</v>
      </c>
      <c r="H29" s="16" t="s">
        <v>69</v>
      </c>
      <c r="I29" s="16"/>
      <c r="J29" s="0" t="str">
        <f aca="false">TRIM(C29:C58)</f>
        <v>Alice Johnson</v>
      </c>
      <c r="K29" s="0" t="str">
        <f aca="false">UPPER(C29:C58)</f>
        <v>ALICE JOHNSON</v>
      </c>
      <c r="L29" s="0" t="str">
        <f aca="false">VLOOKUP(E29,Products!$A:$F,2,0)</f>
        <v>USB Hub</v>
      </c>
      <c r="M29" s="0" t="str">
        <f aca="false">VLOOKUP(E29,Products!$A:$F,6)</f>
        <v>Gadgets Inc.</v>
      </c>
      <c r="N29" s="0" t="n">
        <f aca="false">VLOOKUP(E29,Products!$A:$F,4)</f>
        <v>35</v>
      </c>
    </row>
    <row r="30" customFormat="false" ht="15" hidden="false" customHeight="true" outlineLevel="0" collapsed="false">
      <c r="A30" s="15" t="s">
        <v>167</v>
      </c>
      <c r="B30" s="15" t="s">
        <v>168</v>
      </c>
      <c r="C30" s="15" t="s">
        <v>169</v>
      </c>
      <c r="D30" s="15" t="s">
        <v>73</v>
      </c>
      <c r="E30" s="15" t="s">
        <v>117</v>
      </c>
      <c r="F30" s="15" t="n">
        <v>6</v>
      </c>
      <c r="G30" s="15" t="n">
        <v>22</v>
      </c>
      <c r="H30" s="15" t="s">
        <v>75</v>
      </c>
      <c r="I30" s="15"/>
      <c r="J30" s="0" t="str">
        <f aca="false">TRIM(C30:C59)</f>
        <v>bob smith</v>
      </c>
      <c r="K30" s="0" t="str">
        <f aca="false">UPPER(C30:C59)</f>
        <v>BOB SMITH</v>
      </c>
      <c r="L30" s="0" t="str">
        <f aca="false">VLOOKUP(E30,Products!$A:$F,2,0)</f>
        <v>Notebook (A5)</v>
      </c>
      <c r="M30" s="0" t="str">
        <f aca="false">VLOOKUP(E30,Products!$A:$F,6)</f>
        <v>PaperWorld</v>
      </c>
      <c r="N30" s="0" t="n">
        <f aca="false">VLOOKUP(E30,Products!$A:$F,4)</f>
        <v>22</v>
      </c>
    </row>
    <row r="31" customFormat="false" ht="15" hidden="false" customHeight="true" outlineLevel="0" collapsed="false">
      <c r="A31" s="16" t="s">
        <v>170</v>
      </c>
      <c r="B31" s="16" t="s">
        <v>171</v>
      </c>
      <c r="C31" s="16" t="s">
        <v>172</v>
      </c>
      <c r="D31" s="16" t="s">
        <v>80</v>
      </c>
      <c r="E31" s="16" t="s">
        <v>68</v>
      </c>
      <c r="F31" s="16" t="n">
        <v>5</v>
      </c>
      <c r="G31" s="16" t="n">
        <v>49.99</v>
      </c>
      <c r="H31" s="16" t="s">
        <v>82</v>
      </c>
      <c r="I31" s="16"/>
      <c r="J31" s="0" t="str">
        <f aca="false">TRIM(C31:C60)</f>
        <v>Carol White</v>
      </c>
      <c r="K31" s="0" t="str">
        <f aca="false">UPPER(C31:C60)</f>
        <v>CAROL WHITE</v>
      </c>
      <c r="L31" s="0" t="str">
        <f aca="false">VLOOKUP(E31,Products!$A:$F,2,0)</f>
        <v>Wireless Headphones</v>
      </c>
      <c r="M31" s="0" t="str">
        <f aca="false">VLOOKUP(E31,Products!$A:$F,6)</f>
        <v>TechSupply Co.</v>
      </c>
      <c r="N31" s="0" t="n">
        <f aca="false">VLOOKUP(E31,Products!$A:$F,4)</f>
        <v>49.99</v>
      </c>
    </row>
  </sheetData>
  <autoFilter ref="A1:K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" activeCellId="0" sqref="G3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4"/>
    <col collapsed="false" customWidth="true" hidden="false" outlineLevel="0" max="3" min="3" style="1" width="14.01"/>
    <col collapsed="false" customWidth="true" hidden="false" outlineLevel="0" max="5" min="4" style="1" width="11.99"/>
    <col collapsed="false" customWidth="true" hidden="false" outlineLevel="0" max="6" min="6" style="1" width="19.99"/>
  </cols>
  <sheetData>
    <row r="1" customFormat="false" ht="27.75" hidden="false" customHeight="true" outlineLevel="0" collapsed="false">
      <c r="A1" s="18" t="s">
        <v>59</v>
      </c>
      <c r="B1" s="18" t="s">
        <v>173</v>
      </c>
      <c r="C1" s="18" t="s">
        <v>174</v>
      </c>
      <c r="D1" s="18" t="s">
        <v>61</v>
      </c>
      <c r="E1" s="18" t="s">
        <v>175</v>
      </c>
      <c r="F1" s="18" t="s">
        <v>176</v>
      </c>
    </row>
    <row r="2" customFormat="false" ht="15" hidden="false" customHeight="true" outlineLevel="0" collapsed="false">
      <c r="A2" s="15" t="s">
        <v>68</v>
      </c>
      <c r="B2" s="15" t="s">
        <v>177</v>
      </c>
      <c r="C2" s="15" t="s">
        <v>178</v>
      </c>
      <c r="D2" s="15" t="n">
        <v>49.99</v>
      </c>
      <c r="E2" s="15" t="n">
        <v>320</v>
      </c>
      <c r="F2" s="15" t="s">
        <v>179</v>
      </c>
    </row>
    <row r="3" customFormat="false" ht="15" hidden="false" customHeight="true" outlineLevel="0" collapsed="false">
      <c r="A3" s="16" t="s">
        <v>74</v>
      </c>
      <c r="B3" s="16" t="s">
        <v>180</v>
      </c>
      <c r="C3" s="16" t="s">
        <v>181</v>
      </c>
      <c r="D3" s="16" t="n">
        <v>120</v>
      </c>
      <c r="E3" s="16" t="n">
        <v>85</v>
      </c>
      <c r="F3" s="16" t="s">
        <v>182</v>
      </c>
    </row>
    <row r="4" customFormat="false" ht="15" hidden="false" customHeight="true" outlineLevel="0" collapsed="false">
      <c r="A4" s="15" t="s">
        <v>81</v>
      </c>
      <c r="B4" s="15" t="s">
        <v>183</v>
      </c>
      <c r="C4" s="15" t="s">
        <v>181</v>
      </c>
      <c r="D4" s="15" t="n">
        <v>75.5</v>
      </c>
      <c r="E4" s="15" t="n">
        <v>140</v>
      </c>
      <c r="F4" s="15" t="s">
        <v>182</v>
      </c>
    </row>
    <row r="5" customFormat="false" ht="15" hidden="false" customHeight="true" outlineLevel="0" collapsed="false">
      <c r="A5" s="16" t="s">
        <v>90</v>
      </c>
      <c r="B5" s="16" t="s">
        <v>184</v>
      </c>
      <c r="C5" s="16" t="s">
        <v>178</v>
      </c>
      <c r="D5" s="16" t="n">
        <v>200</v>
      </c>
      <c r="E5" s="16" t="n">
        <v>60</v>
      </c>
      <c r="F5" s="16" t="s">
        <v>179</v>
      </c>
    </row>
    <row r="6" customFormat="false" ht="15" hidden="false" customHeight="true" outlineLevel="0" collapsed="false">
      <c r="A6" s="15" t="s">
        <v>104</v>
      </c>
      <c r="B6" s="15" t="s">
        <v>185</v>
      </c>
      <c r="C6" s="15" t="s">
        <v>178</v>
      </c>
      <c r="D6" s="15" t="n">
        <v>35</v>
      </c>
      <c r="E6" s="15" t="n">
        <v>500</v>
      </c>
      <c r="F6" s="15" t="s">
        <v>186</v>
      </c>
    </row>
    <row r="7" customFormat="false" ht="15" hidden="false" customHeight="true" outlineLevel="0" collapsed="false">
      <c r="A7" s="16" t="s">
        <v>117</v>
      </c>
      <c r="B7" s="16" t="s">
        <v>187</v>
      </c>
      <c r="C7" s="16" t="s">
        <v>188</v>
      </c>
      <c r="D7" s="16" t="n">
        <v>22</v>
      </c>
      <c r="E7" s="16" t="n">
        <v>1200</v>
      </c>
      <c r="F7" s="16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19.99"/>
    <col collapsed="false" customWidth="true" hidden="false" outlineLevel="0" max="2" min="2" style="1" width="14.01"/>
    <col collapsed="false" customWidth="true" hidden="false" outlineLevel="0" max="3" min="3" style="1" width="27.99"/>
    <col collapsed="false" customWidth="true" hidden="false" outlineLevel="0" max="4" min="4" style="1" width="11.99"/>
    <col collapsed="false" customWidth="true" hidden="false" outlineLevel="0" max="6" min="5" style="1" width="14.01"/>
  </cols>
  <sheetData>
    <row r="1" customFormat="false" ht="27.75" hidden="false" customHeight="true" outlineLevel="0" collapsed="false">
      <c r="A1" s="18" t="s">
        <v>57</v>
      </c>
      <c r="B1" s="18" t="s">
        <v>190</v>
      </c>
      <c r="C1" s="18" t="s">
        <v>191</v>
      </c>
      <c r="D1" s="18" t="s">
        <v>192</v>
      </c>
      <c r="E1" s="18" t="s">
        <v>193</v>
      </c>
      <c r="F1" s="18" t="s">
        <v>194</v>
      </c>
    </row>
    <row r="2" customFormat="false" ht="15" hidden="false" customHeight="true" outlineLevel="0" collapsed="false">
      <c r="A2" s="15" t="s">
        <v>166</v>
      </c>
      <c r="B2" s="19" t="s">
        <v>195</v>
      </c>
      <c r="C2" s="15" t="s">
        <v>196</v>
      </c>
      <c r="D2" s="15" t="s">
        <v>197</v>
      </c>
      <c r="E2" s="15" t="s">
        <v>198</v>
      </c>
      <c r="F2" s="15" t="n">
        <v>14</v>
      </c>
    </row>
    <row r="3" customFormat="false" ht="15" hidden="false" customHeight="true" outlineLevel="0" collapsed="false">
      <c r="A3" s="16" t="s">
        <v>199</v>
      </c>
      <c r="B3" s="20" t="s">
        <v>200</v>
      </c>
      <c r="C3" s="16" t="s">
        <v>201</v>
      </c>
      <c r="D3" s="16" t="s">
        <v>197</v>
      </c>
      <c r="E3" s="16" t="s">
        <v>202</v>
      </c>
      <c r="F3" s="16" t="n">
        <v>7</v>
      </c>
    </row>
    <row r="4" customFormat="false" ht="15" hidden="false" customHeight="true" outlineLevel="0" collapsed="false">
      <c r="A4" s="15" t="s">
        <v>172</v>
      </c>
      <c r="B4" s="21" t="s">
        <v>203</v>
      </c>
      <c r="C4" s="15" t="s">
        <v>204</v>
      </c>
      <c r="D4" s="15" t="s">
        <v>205</v>
      </c>
      <c r="E4" s="15" t="s">
        <v>206</v>
      </c>
      <c r="F4" s="15" t="n">
        <v>3</v>
      </c>
    </row>
    <row r="5" customFormat="false" ht="15" hidden="false" customHeight="true" outlineLevel="0" collapsed="false">
      <c r="A5" s="16" t="s">
        <v>85</v>
      </c>
      <c r="B5" s="19" t="s">
        <v>195</v>
      </c>
      <c r="C5" s="16" t="s">
        <v>207</v>
      </c>
      <c r="D5" s="16" t="s">
        <v>208</v>
      </c>
      <c r="E5" s="16" t="s">
        <v>209</v>
      </c>
      <c r="F5" s="16" t="n">
        <v>21</v>
      </c>
    </row>
    <row r="6" customFormat="false" ht="15" hidden="false" customHeight="true" outlineLevel="0" collapsed="false">
      <c r="A6" s="15" t="s">
        <v>210</v>
      </c>
      <c r="B6" s="20" t="s">
        <v>200</v>
      </c>
      <c r="C6" s="15" t="s">
        <v>211</v>
      </c>
      <c r="D6" s="15" t="s">
        <v>197</v>
      </c>
      <c r="E6" s="15" t="s">
        <v>212</v>
      </c>
      <c r="F6" s="15" t="n">
        <v>5</v>
      </c>
    </row>
    <row r="7" customFormat="false" ht="15" hidden="false" customHeight="true" outlineLevel="0" collapsed="false">
      <c r="A7" s="16" t="s">
        <v>213</v>
      </c>
      <c r="B7" s="21" t="s">
        <v>203</v>
      </c>
      <c r="C7" s="16" t="s">
        <v>214</v>
      </c>
      <c r="D7" s="16" t="s">
        <v>205</v>
      </c>
      <c r="E7" s="16" t="s">
        <v>78</v>
      </c>
      <c r="F7" s="16" t="n">
        <v>2</v>
      </c>
    </row>
    <row r="8" customFormat="false" ht="15" hidden="false" customHeight="true" outlineLevel="0" collapsed="false">
      <c r="A8" s="15" t="s">
        <v>215</v>
      </c>
      <c r="B8" s="20" t="s">
        <v>200</v>
      </c>
      <c r="C8" s="15" t="s">
        <v>216</v>
      </c>
      <c r="D8" s="15" t="s">
        <v>197</v>
      </c>
      <c r="E8" s="15" t="s">
        <v>217</v>
      </c>
      <c r="F8" s="15" t="n">
        <v>9</v>
      </c>
    </row>
    <row r="9" customFormat="false" ht="15" hidden="false" customHeight="true" outlineLevel="0" collapsed="false">
      <c r="A9" s="16" t="s">
        <v>218</v>
      </c>
      <c r="B9" s="21" t="s">
        <v>203</v>
      </c>
      <c r="C9" s="16" t="s">
        <v>219</v>
      </c>
      <c r="D9" s="16" t="s">
        <v>208</v>
      </c>
      <c r="E9" s="16" t="s">
        <v>220</v>
      </c>
      <c r="F9" s="16" t="n">
        <v>4</v>
      </c>
    </row>
    <row r="10" customFormat="false" ht="15" hidden="false" customHeight="true" outlineLevel="0" collapsed="false">
      <c r="A10" s="15" t="s">
        <v>107</v>
      </c>
      <c r="B10" s="19" t="s">
        <v>195</v>
      </c>
      <c r="C10" s="15" t="s">
        <v>221</v>
      </c>
      <c r="D10" s="15" t="s">
        <v>197</v>
      </c>
      <c r="E10" s="15" t="s">
        <v>222</v>
      </c>
      <c r="F10" s="15" t="n">
        <v>18</v>
      </c>
    </row>
    <row r="11" customFormat="false" ht="15" hidden="false" customHeight="true" outlineLevel="0" collapsed="false">
      <c r="A11" s="16" t="s">
        <v>110</v>
      </c>
      <c r="B11" s="19" t="s">
        <v>195</v>
      </c>
      <c r="C11" s="16" t="s">
        <v>223</v>
      </c>
      <c r="D11" s="16" t="s">
        <v>205</v>
      </c>
      <c r="E11" s="16" t="s">
        <v>224</v>
      </c>
      <c r="F11" s="16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27.99"/>
    <col collapsed="false" customWidth="true" hidden="false" outlineLevel="0" max="2" min="2" style="1" width="37.99"/>
    <col collapsed="false" customWidth="true" hidden="false" outlineLevel="0" max="3" min="3" style="1" width="14.01"/>
    <col collapsed="false" customWidth="true" hidden="false" outlineLevel="0" max="4" min="4" style="1" width="11.99"/>
    <col collapsed="false" customWidth="true" hidden="false" outlineLevel="0" max="5" min="5" style="1" width="24"/>
    <col collapsed="false" customWidth="true" hidden="false" outlineLevel="0" max="6" min="6" style="1" width="22.01"/>
  </cols>
  <sheetData>
    <row r="1" customFormat="false" ht="24" hidden="false" customHeight="true" outlineLevel="0" collapsed="false">
      <c r="A1" s="22" t="s">
        <v>225</v>
      </c>
      <c r="B1" s="22"/>
      <c r="C1" s="22"/>
      <c r="D1" s="22"/>
      <c r="E1" s="22"/>
      <c r="F1" s="22"/>
    </row>
    <row r="2" customFormat="false" ht="15" hidden="false" customHeight="true" outlineLevel="0" collapsed="false">
      <c r="A2" s="23" t="s">
        <v>226</v>
      </c>
      <c r="B2" s="23" t="s">
        <v>227</v>
      </c>
      <c r="C2" s="23" t="s">
        <v>228</v>
      </c>
    </row>
    <row r="3" customFormat="false" ht="19.5" hidden="false" customHeight="true" outlineLevel="0" collapsed="false">
      <c r="A3" s="15" t="s">
        <v>229</v>
      </c>
      <c r="B3" s="24" t="n">
        <f aca="false">COUNTA(Orders_Raw!A2:A31)</f>
        <v>30</v>
      </c>
      <c r="C3" s="25" t="n">
        <f aca="false">COUNTA(Orders_Raw!A2:A31)</f>
        <v>30</v>
      </c>
    </row>
    <row r="4" customFormat="false" ht="19.5" hidden="false" customHeight="true" outlineLevel="0" collapsed="false">
      <c r="A4" s="16" t="s">
        <v>230</v>
      </c>
      <c r="B4" s="26" t="n">
        <f aca="false">SUMPRODUCT(Orders_Raw!F2:F31,Orders_Raw!G2:G31)</f>
        <v>19426.42</v>
      </c>
      <c r="C4" s="27" t="n">
        <f aca="false">SUMPRODUCT(Orders_Raw!F2:F31,Orders_Raw!G2:G31)</f>
        <v>19426.42</v>
      </c>
    </row>
    <row r="5" customFormat="false" ht="19.5" hidden="false" customHeight="true" outlineLevel="0" collapsed="false">
      <c r="A5" s="15" t="s">
        <v>231</v>
      </c>
      <c r="B5" s="24" t="n">
        <f aca="false">AVERAGE(Orders_Raw!G2:G31)</f>
        <v>85.181</v>
      </c>
      <c r="C5" s="27" t="n">
        <f aca="false">AVERAGE(Orders_Raw!G2:G31)</f>
        <v>85.181</v>
      </c>
    </row>
    <row r="6" customFormat="false" ht="19.5" hidden="false" customHeight="true" outlineLevel="0" collapsed="false">
      <c r="A6" s="16" t="s">
        <v>232</v>
      </c>
      <c r="B6" s="26" t="n">
        <f aca="false">MAX(Orders_Raw!F2:F31)</f>
        <v>25</v>
      </c>
      <c r="C6" s="25" t="n">
        <f aca="false">MAX(Orders_Raw!F2:F31)</f>
        <v>25</v>
      </c>
    </row>
    <row r="7" customFormat="false" ht="19.5" hidden="false" customHeight="true" outlineLevel="0" collapsed="false">
      <c r="A7" s="15" t="s">
        <v>233</v>
      </c>
      <c r="B7" s="24" t="n">
        <f aca="false">MIN(Orders_Raw!F2:F31)</f>
        <v>3</v>
      </c>
      <c r="C7" s="25" t="n">
        <f aca="false">MIN(Orders_Raw!F2:F31)</f>
        <v>3</v>
      </c>
    </row>
    <row r="8" customFormat="false" ht="19.5" hidden="false" customHeight="true" outlineLevel="0" collapsed="false">
      <c r="A8" s="16" t="s">
        <v>234</v>
      </c>
      <c r="B8" s="26" t="n">
        <f aca="false">COUNTIF(Orders_Raw!H2:H31,"Shipped")</f>
        <v>11</v>
      </c>
      <c r="C8" s="25" t="n">
        <f aca="false">COUNTIF(Orders_Raw!H2:H31,"Shipped")</f>
        <v>11</v>
      </c>
    </row>
    <row r="9" customFormat="false" ht="19.5" hidden="false" customHeight="true" outlineLevel="0" collapsed="false">
      <c r="A9" s="15" t="s">
        <v>235</v>
      </c>
      <c r="B9" s="24" t="n">
        <f aca="false">COUNTIF(Orders_Raw!H2:H31,"Pending")</f>
        <v>7</v>
      </c>
      <c r="C9" s="25" t="n">
        <f aca="false">COUNTIF(Orders_Raw!H2:H31,"Pending")</f>
        <v>7</v>
      </c>
    </row>
    <row r="10" customFormat="false" ht="19.5" hidden="false" customHeight="true" outlineLevel="0" collapsed="false">
      <c r="A10" s="16" t="s">
        <v>236</v>
      </c>
      <c r="B10" s="26" t="n">
        <f aca="false">COUNTIF(Orders_Raw!F2:F31,"&gt;"&amp;(1000/Orders_Raw!G2:G31))</f>
        <v>1</v>
      </c>
      <c r="C10" s="25" t="n">
        <f aca="false">COUNTIF(Orders_Raw!F2:F31,"&gt;"&amp;(1000/Orders_Raw!G2:G31))</f>
        <v>1</v>
      </c>
    </row>
    <row r="12" customFormat="false" ht="24" hidden="false" customHeight="true" outlineLevel="0" collapsed="false">
      <c r="A12" s="22" t="s">
        <v>237</v>
      </c>
      <c r="B12" s="22"/>
      <c r="C12" s="22"/>
      <c r="D12" s="22"/>
      <c r="E12" s="22"/>
      <c r="F12" s="22"/>
    </row>
    <row r="13" customFormat="false" ht="15" hidden="false" customHeight="true" outlineLevel="0" collapsed="false">
      <c r="A13" s="28" t="s">
        <v>55</v>
      </c>
      <c r="B13" s="28" t="s">
        <v>60</v>
      </c>
      <c r="C13" s="28" t="s">
        <v>238</v>
      </c>
      <c r="D13" s="28" t="s">
        <v>239</v>
      </c>
      <c r="E13" s="28" t="s">
        <v>240</v>
      </c>
    </row>
    <row r="14" customFormat="false" ht="15" hidden="false" customHeight="true" outlineLevel="0" collapsed="false">
      <c r="A14" s="29" t="str">
        <f aca="false">Orders_Raw!A2</f>
        <v>ORD-1001</v>
      </c>
      <c r="B14" s="29" t="n">
        <f aca="false">Orders_Raw!F2</f>
        <v>10</v>
      </c>
      <c r="C14" s="29" t="str">
        <f aca="false">IF(Orders_Raw!F2&gt;=10,"Large",IF(Orders_Raw!F2&gt;=5,"Medium","Small"))</f>
        <v>Large</v>
      </c>
      <c r="D14" s="30" t="n">
        <f aca="false">Orders_Raw!F2*Orders_Raw!G2</f>
        <v>499.9</v>
      </c>
      <c r="E14" s="29" t="str">
        <f aca="false">IF(Orders_Raw!F2*Orders_Raw!G2&gt;=1000,"High",IF(Orders_Raw!F2*Orders_Raw!G2&gt;=500,"Medium","Low"))</f>
        <v>Low</v>
      </c>
    </row>
    <row r="15" customFormat="false" ht="15" hidden="false" customHeight="true" outlineLevel="0" collapsed="false">
      <c r="A15" s="31" t="str">
        <f aca="false">Orders_Raw!A3</f>
        <v>ORD-1002</v>
      </c>
      <c r="B15" s="31" t="n">
        <f aca="false">Orders_Raw!F3</f>
        <v>5</v>
      </c>
      <c r="C15" s="31" t="str">
        <f aca="false">IF(Orders_Raw!F3&gt;=10,"Large",IF(Orders_Raw!F3&gt;=5,"Medium","Small"))</f>
        <v>Medium</v>
      </c>
      <c r="D15" s="32" t="n">
        <f aca="false">Orders_Raw!F3*Orders_Raw!G3</f>
        <v>600</v>
      </c>
      <c r="E15" s="31" t="str">
        <f aca="false">IF(Orders_Raw!F3*Orders_Raw!G3&gt;=1000,"High",IF(Orders_Raw!F3*Orders_Raw!G3&gt;=500,"Medium","Low"))</f>
        <v>Medium</v>
      </c>
    </row>
    <row r="16" customFormat="false" ht="15" hidden="false" customHeight="true" outlineLevel="0" collapsed="false">
      <c r="A16" s="29" t="str">
        <f aca="false">Orders_Raw!A4</f>
        <v>ORD-1003</v>
      </c>
      <c r="B16" s="29" t="n">
        <f aca="false">Orders_Raw!F4</f>
        <v>8</v>
      </c>
      <c r="C16" s="29" t="str">
        <f aca="false">IF(Orders_Raw!F4&gt;=10,"Large",IF(Orders_Raw!F4&gt;=5,"Medium","Small"))</f>
        <v>Medium</v>
      </c>
      <c r="D16" s="30" t="n">
        <f aca="false">Orders_Raw!F4*Orders_Raw!G4</f>
        <v>604</v>
      </c>
      <c r="E16" s="29" t="str">
        <f aca="false">IF(Orders_Raw!F4*Orders_Raw!G4&gt;=1000,"High",IF(Orders_Raw!F4*Orders_Raw!G4&gt;=500,"Medium","Low"))</f>
        <v>Medium</v>
      </c>
    </row>
    <row r="17" customFormat="false" ht="15" hidden="false" customHeight="true" outlineLevel="0" collapsed="false">
      <c r="A17" s="31" t="str">
        <f aca="false">Orders_Raw!A5</f>
        <v>ORD-1004</v>
      </c>
      <c r="B17" s="31" t="n">
        <f aca="false">Orders_Raw!F5</f>
        <v>12</v>
      </c>
      <c r="C17" s="31" t="str">
        <f aca="false">IF(Orders_Raw!F5&gt;=10,"Large",IF(Orders_Raw!F5&gt;=5,"Medium","Small"))</f>
        <v>Large</v>
      </c>
      <c r="D17" s="32" t="n">
        <f aca="false">Orders_Raw!F5*Orders_Raw!G5</f>
        <v>599.88</v>
      </c>
      <c r="E17" s="31" t="str">
        <f aca="false">IF(Orders_Raw!F5*Orders_Raw!G5&gt;=1000,"High",IF(Orders_Raw!F5*Orders_Raw!G5&gt;=500,"Medium","Low"))</f>
        <v>Medium</v>
      </c>
    </row>
    <row r="18" customFormat="false" ht="15" hidden="false" customHeight="true" outlineLevel="0" collapsed="false">
      <c r="A18" s="29" t="str">
        <f aca="false">Orders_Raw!A6</f>
        <v>ORD-1005</v>
      </c>
      <c r="B18" s="29" t="n">
        <f aca="false">Orders_Raw!F6</f>
        <v>3</v>
      </c>
      <c r="C18" s="29" t="str">
        <f aca="false">IF(Orders_Raw!F6&gt;=10,"Large",IF(Orders_Raw!F6&gt;=5,"Medium","Small"))</f>
        <v>Small</v>
      </c>
      <c r="D18" s="30" t="n">
        <f aca="false">Orders_Raw!F6*Orders_Raw!G6</f>
        <v>600</v>
      </c>
      <c r="E18" s="29" t="str">
        <f aca="false">IF(Orders_Raw!F6*Orders_Raw!G6&gt;=1000,"High",IF(Orders_Raw!F6*Orders_Raw!G6&gt;=500,"Medium","Low"))</f>
        <v>Medium</v>
      </c>
    </row>
    <row r="19" customFormat="false" ht="15" hidden="false" customHeight="true" outlineLevel="0" collapsed="false">
      <c r="A19" s="31" t="str">
        <f aca="false">Orders_Raw!A7</f>
        <v>ORD-1006</v>
      </c>
      <c r="B19" s="31" t="n">
        <f aca="false">Orders_Raw!F7</f>
        <v>7</v>
      </c>
      <c r="C19" s="31" t="str">
        <f aca="false">IF(Orders_Raw!F7&gt;=10,"Large",IF(Orders_Raw!F7&gt;=5,"Medium","Small"))</f>
        <v>Medium</v>
      </c>
      <c r="D19" s="32" t="n">
        <f aca="false">Orders_Raw!F7*Orders_Raw!G7</f>
        <v>840</v>
      </c>
      <c r="E19" s="31" t="str">
        <f aca="false">IF(Orders_Raw!F7*Orders_Raw!G7&gt;=1000,"High",IF(Orders_Raw!F7*Orders_Raw!G7&gt;=500,"Medium","Low"))</f>
        <v>Medium</v>
      </c>
    </row>
    <row r="20" customFormat="false" ht="15" hidden="false" customHeight="true" outlineLevel="0" collapsed="false">
      <c r="A20" s="29" t="str">
        <f aca="false">Orders_Raw!A8</f>
        <v>ORD-1007</v>
      </c>
      <c r="B20" s="29" t="n">
        <f aca="false">Orders_Raw!F8</f>
        <v>6</v>
      </c>
      <c r="C20" s="29" t="str">
        <f aca="false">IF(Orders_Raw!F8&gt;=10,"Large",IF(Orders_Raw!F8&gt;=5,"Medium","Small"))</f>
        <v>Medium</v>
      </c>
      <c r="D20" s="30" t="n">
        <f aca="false">Orders_Raw!F8*Orders_Raw!G8</f>
        <v>453</v>
      </c>
      <c r="E20" s="29" t="str">
        <f aca="false">IF(Orders_Raw!F8*Orders_Raw!G8&gt;=1000,"High",IF(Orders_Raw!F8*Orders_Raw!G8&gt;=500,"Medium","Low"))</f>
        <v>Low</v>
      </c>
    </row>
    <row r="21" customFormat="false" ht="15" hidden="false" customHeight="true" outlineLevel="0" collapsed="false">
      <c r="A21" s="31" t="str">
        <f aca="false">Orders_Raw!A9</f>
        <v>ORD-1008</v>
      </c>
      <c r="B21" s="31" t="n">
        <f aca="false">Orders_Raw!F9</f>
        <v>15</v>
      </c>
      <c r="C21" s="31" t="str">
        <f aca="false">IF(Orders_Raw!F9&gt;=10,"Large",IF(Orders_Raw!F9&gt;=5,"Medium","Small"))</f>
        <v>Large</v>
      </c>
      <c r="D21" s="32" t="n">
        <f aca="false">Orders_Raw!F9*Orders_Raw!G9</f>
        <v>525</v>
      </c>
      <c r="E21" s="31" t="str">
        <f aca="false">IF(Orders_Raw!F9*Orders_Raw!G9&gt;=1000,"High",IF(Orders_Raw!F9*Orders_Raw!G9&gt;=500,"Medium","Low"))</f>
        <v>Medium</v>
      </c>
    </row>
    <row r="22" customFormat="false" ht="15" hidden="false" customHeight="true" outlineLevel="0" collapsed="false">
      <c r="A22" s="29" t="str">
        <f aca="false">Orders_Raw!A10</f>
        <v>ORD-1009</v>
      </c>
      <c r="B22" s="29" t="n">
        <f aca="false">Orders_Raw!F10</f>
        <v>9</v>
      </c>
      <c r="C22" s="29" t="str">
        <f aca="false">IF(Orders_Raw!F10&gt;=10,"Large",IF(Orders_Raw!F10&gt;=5,"Medium","Small"))</f>
        <v>Medium</v>
      </c>
      <c r="D22" s="30" t="n">
        <f aca="false">Orders_Raw!F10*Orders_Raw!G10</f>
        <v>449.91</v>
      </c>
      <c r="E22" s="29" t="str">
        <f aca="false">IF(Orders_Raw!F10*Orders_Raw!G10&gt;=1000,"High",IF(Orders_Raw!F10*Orders_Raw!G10&gt;=500,"Medium","Low"))</f>
        <v>Low</v>
      </c>
    </row>
    <row r="23" customFormat="false" ht="15" hidden="false" customHeight="true" outlineLevel="0" collapsed="false">
      <c r="A23" s="31" t="str">
        <f aca="false">Orders_Raw!A11</f>
        <v>ORD-1010</v>
      </c>
      <c r="B23" s="31" t="n">
        <f aca="false">Orders_Raw!F11</f>
        <v>4</v>
      </c>
      <c r="C23" s="31" t="str">
        <f aca="false">IF(Orders_Raw!F11&gt;=10,"Large",IF(Orders_Raw!F11&gt;=5,"Medium","Small"))</f>
        <v>Small</v>
      </c>
      <c r="D23" s="32" t="n">
        <f aca="false">Orders_Raw!F11*Orders_Raw!G11</f>
        <v>800</v>
      </c>
      <c r="E23" s="31" t="str">
        <f aca="false">IF(Orders_Raw!F11*Orders_Raw!G11&gt;=1000,"High",IF(Orders_Raw!F11*Orders_Raw!G11&gt;=500,"Medium","Low"))</f>
        <v>Medium</v>
      </c>
    </row>
    <row r="25" customFormat="false" ht="24" hidden="false" customHeight="true" outlineLevel="0" collapsed="false">
      <c r="A25" s="22" t="s">
        <v>241</v>
      </c>
      <c r="B25" s="22"/>
      <c r="C25" s="22"/>
      <c r="D25" s="22"/>
      <c r="E25" s="22"/>
      <c r="F25" s="22"/>
    </row>
    <row r="26" customFormat="false" ht="15" hidden="false" customHeight="true" outlineLevel="0" collapsed="false">
      <c r="A26" s="28" t="s">
        <v>55</v>
      </c>
      <c r="B26" s="28" t="s">
        <v>59</v>
      </c>
      <c r="C26" s="28" t="s">
        <v>242</v>
      </c>
      <c r="D26" s="28" t="s">
        <v>243</v>
      </c>
      <c r="E26" s="28" t="s">
        <v>244</v>
      </c>
    </row>
    <row r="27" customFormat="false" ht="15" hidden="false" customHeight="true" outlineLevel="0" collapsed="false">
      <c r="A27" s="31" t="str">
        <f aca="false">Orders_Raw!A2</f>
        <v>ORD-1001</v>
      </c>
      <c r="B27" s="31" t="str">
        <f aca="false">Orders_Raw!E2</f>
        <v>PRD-A01</v>
      </c>
      <c r="C27" s="31" t="str">
        <f aca="false">IFERROR(VLOOKUP(Orders_Raw!E2,Products!$A:$F,2,FALSE()),"Not Found")</f>
        <v>Wireless Headphones</v>
      </c>
      <c r="D27" s="31" t="str">
        <f aca="false">IFERROR(xlookup(Orders_Raw!E2,Products!$A:$A,Products!$C:$C,"Not Found"),"Not Found")</f>
        <v>Not Found</v>
      </c>
      <c r="E27" s="32" t="n">
        <f aca="false">IFERROR(VLOOKUP(Orders_Raw!E2,Products!$A:$F,4,FALSE()),"Not Found")</f>
        <v>49.99</v>
      </c>
    </row>
    <row r="28" customFormat="false" ht="15" hidden="false" customHeight="true" outlineLevel="0" collapsed="false">
      <c r="A28" s="29" t="str">
        <f aca="false">Orders_Raw!A3</f>
        <v>ORD-1002</v>
      </c>
      <c r="B28" s="29" t="str">
        <f aca="false">Orders_Raw!E3</f>
        <v>PRD-B02</v>
      </c>
      <c r="C28" s="29" t="str">
        <f aca="false">IFERROR(VLOOKUP(Orders_Raw!E3,Products!$A:$F,2,FALSE()),"Not Found")</f>
        <v>Standing Desk</v>
      </c>
      <c r="D28" s="29" t="str">
        <f aca="false">IFERROR(xlookup(Orders_Raw!E3,Products!$A:$A,Products!$C:$C,"Not Found"),"Not Found")</f>
        <v>Not Found</v>
      </c>
      <c r="E28" s="30" t="n">
        <f aca="false">IFERROR(VLOOKUP(Orders_Raw!E3,Products!$A:$F,4,FALSE()),"Not Found")</f>
        <v>120</v>
      </c>
    </row>
    <row r="29" customFormat="false" ht="15" hidden="false" customHeight="true" outlineLevel="0" collapsed="false">
      <c r="A29" s="31" t="str">
        <f aca="false">Orders_Raw!A4</f>
        <v>ORD-1003</v>
      </c>
      <c r="B29" s="31" t="str">
        <f aca="false">Orders_Raw!E4</f>
        <v>PRD-C03</v>
      </c>
      <c r="C29" s="31" t="str">
        <f aca="false">IFERROR(VLOOKUP(Orders_Raw!E4,Products!$A:$F,2,FALSE()),"Not Found")</f>
        <v>Ergonomic Chair</v>
      </c>
      <c r="D29" s="31" t="str">
        <f aca="false">IFERROR(xlookup(Orders_Raw!E4,Products!$A:$A,Products!$C:$C,"Not Found"),"Not Found")</f>
        <v>Not Found</v>
      </c>
      <c r="E29" s="32" t="n">
        <f aca="false">IFERROR(VLOOKUP(Orders_Raw!E4,Products!$A:$F,4,FALSE()),"Not Found")</f>
        <v>75.5</v>
      </c>
    </row>
    <row r="30" customFormat="false" ht="15" hidden="false" customHeight="true" outlineLevel="0" collapsed="false">
      <c r="A30" s="29" t="str">
        <f aca="false">Orders_Raw!A5</f>
        <v>ORD-1004</v>
      </c>
      <c r="B30" s="29" t="str">
        <f aca="false">Orders_Raw!E5</f>
        <v>PRD-A01</v>
      </c>
      <c r="C30" s="29" t="str">
        <f aca="false">IFERROR(VLOOKUP(Orders_Raw!E5,Products!$A:$F,2,FALSE()),"Not Found")</f>
        <v>Wireless Headphones</v>
      </c>
      <c r="D30" s="29" t="str">
        <f aca="false">IFERROR(xlookup(Orders_Raw!E5,Products!$A:$A,Products!$C:$C,"Not Found"),"Not Found")</f>
        <v>Not Found</v>
      </c>
      <c r="E30" s="30" t="n">
        <f aca="false">IFERROR(VLOOKUP(Orders_Raw!E5,Products!$A:$F,4,FALSE()),"Not Found")</f>
        <v>49.99</v>
      </c>
    </row>
    <row r="31" customFormat="false" ht="15" hidden="false" customHeight="true" outlineLevel="0" collapsed="false">
      <c r="A31" s="31" t="str">
        <f aca="false">Orders_Raw!A6</f>
        <v>ORD-1005</v>
      </c>
      <c r="B31" s="31" t="str">
        <f aca="false">Orders_Raw!E6</f>
        <v>PRD-D04</v>
      </c>
      <c r="C31" s="31" t="str">
        <f aca="false">IFERROR(VLOOKUP(Orders_Raw!E6,Products!$A:$F,2,FALSE()),"Not Found")</f>
        <v>4K Monitor</v>
      </c>
      <c r="D31" s="31" t="str">
        <f aca="false">IFERROR(xlookup(Orders_Raw!E6,Products!$A:$A,Products!$C:$C,"Not Found"),"Not Found")</f>
        <v>Not Found</v>
      </c>
      <c r="E31" s="32" t="n">
        <f aca="false">IFERROR(VLOOKUP(Orders_Raw!E6,Products!$A:$F,4,FALSE()),"Not Found")</f>
        <v>200</v>
      </c>
    </row>
    <row r="32" customFormat="false" ht="15" hidden="false" customHeight="true" outlineLevel="0" collapsed="false">
      <c r="A32" s="29" t="str">
        <f aca="false">Orders_Raw!A7</f>
        <v>ORD-1006</v>
      </c>
      <c r="B32" s="29" t="str">
        <f aca="false">Orders_Raw!E7</f>
        <v>PRD-B02</v>
      </c>
      <c r="C32" s="29" t="str">
        <f aca="false">IFERROR(VLOOKUP(Orders_Raw!E7,Products!$A:$F,2,FALSE()),"Not Found")</f>
        <v>Standing Desk</v>
      </c>
      <c r="D32" s="29" t="str">
        <f aca="false">IFERROR(xlookup(Orders_Raw!E7,Products!$A:$A,Products!$C:$C,"Not Found"),"Not Found")</f>
        <v>Not Found</v>
      </c>
      <c r="E32" s="30" t="n">
        <f aca="false">IFERROR(VLOOKUP(Orders_Raw!E7,Products!$A:$F,4,FALSE()),"Not Found")</f>
        <v>120</v>
      </c>
    </row>
    <row r="33" customFormat="false" ht="15" hidden="false" customHeight="true" outlineLevel="0" collapsed="false">
      <c r="A33" s="31" t="str">
        <f aca="false">Orders_Raw!A8</f>
        <v>ORD-1007</v>
      </c>
      <c r="B33" s="31" t="str">
        <f aca="false">Orders_Raw!E8</f>
        <v>PRD-C03</v>
      </c>
      <c r="C33" s="31" t="str">
        <f aca="false">IFERROR(VLOOKUP(Orders_Raw!E8,Products!$A:$F,2,FALSE()),"Not Found")</f>
        <v>Ergonomic Chair</v>
      </c>
      <c r="D33" s="31" t="str">
        <f aca="false">IFERROR(xlookup(Orders_Raw!E8,Products!$A:$A,Products!$C:$C,"Not Found"),"Not Found")</f>
        <v>Not Found</v>
      </c>
      <c r="E33" s="32" t="n">
        <f aca="false">IFERROR(VLOOKUP(Orders_Raw!E8,Products!$A:$F,4,FALSE()),"Not Found")</f>
        <v>75.5</v>
      </c>
    </row>
    <row r="34" customFormat="false" ht="15" hidden="false" customHeight="true" outlineLevel="0" collapsed="false">
      <c r="A34" s="29" t="str">
        <f aca="false">Orders_Raw!A9</f>
        <v>ORD-1008</v>
      </c>
      <c r="B34" s="29" t="str">
        <f aca="false">Orders_Raw!E9</f>
        <v>PRD-E05</v>
      </c>
      <c r="C34" s="29" t="str">
        <f aca="false">IFERROR(VLOOKUP(Orders_Raw!E9,Products!$A:$F,2,FALSE()),"Not Found")</f>
        <v>USB Hub</v>
      </c>
      <c r="D34" s="29" t="str">
        <f aca="false">IFERROR(xlookup(Orders_Raw!E9,Products!$A:$A,Products!$C:$C,"Not Found"),"Not Found")</f>
        <v>Not Found</v>
      </c>
      <c r="E34" s="30" t="n">
        <f aca="false">IFERROR(VLOOKUP(Orders_Raw!E9,Products!$A:$F,4,FALSE()),"Not Found")</f>
        <v>35</v>
      </c>
    </row>
    <row r="35" customFormat="false" ht="15" hidden="false" customHeight="true" outlineLevel="0" collapsed="false">
      <c r="A35" s="31" t="str">
        <f aca="false">Orders_Raw!A10</f>
        <v>ORD-1009</v>
      </c>
      <c r="B35" s="31" t="str">
        <f aca="false">Orders_Raw!E10</f>
        <v>PRD-A01</v>
      </c>
      <c r="C35" s="31" t="str">
        <f aca="false">IFERROR(VLOOKUP(Orders_Raw!E10,Products!$A:$F,2,FALSE()),"Not Found")</f>
        <v>Wireless Headphones</v>
      </c>
      <c r="D35" s="31" t="str">
        <f aca="false">IFERROR(xlookup(Orders_Raw!E10,Products!$A:$A,Products!$C:$C,"Not Found"),"Not Found")</f>
        <v>Not Found</v>
      </c>
      <c r="E35" s="32" t="n">
        <f aca="false">IFERROR(VLOOKUP(Orders_Raw!E10,Products!$A:$F,4,FALSE()),"Not Found")</f>
        <v>49.99</v>
      </c>
    </row>
    <row r="36" customFormat="false" ht="15" hidden="false" customHeight="true" outlineLevel="0" collapsed="false">
      <c r="A36" s="29" t="str">
        <f aca="false">Orders_Raw!A11</f>
        <v>ORD-1010</v>
      </c>
      <c r="B36" s="29" t="str">
        <f aca="false">Orders_Raw!E11</f>
        <v>PRD-D04</v>
      </c>
      <c r="C36" s="29" t="str">
        <f aca="false">IFERROR(VLOOKUP(Orders_Raw!E11,Products!$A:$F,2,FALSE()),"Not Found")</f>
        <v>4K Monitor</v>
      </c>
      <c r="D36" s="29" t="str">
        <f aca="false">IFERROR(xlookup(Orders_Raw!E11,Products!$A:$A,Products!$C:$C,"Not Found"),"Not Found")</f>
        <v>Not Found</v>
      </c>
      <c r="E36" s="30" t="n">
        <f aca="false">IFERROR(VLOOKUP(Orders_Raw!E11,Products!$A:$F,4,FALSE()),"Not Found")</f>
        <v>200</v>
      </c>
    </row>
  </sheetData>
  <mergeCells count="3">
    <mergeCell ref="A1:F1"/>
    <mergeCell ref="A12:F1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2026-04-06T19:48:58Z</dcterms:created>
  <dc:creator>openpyxl</dc:creator>
  <dc:description/>
  <dc:language>en-US</dc:language>
  <cp:lastModifiedBy/>
  <dcterms:modified xsi:type="dcterms:W3CDTF">2026-06-26T12:45:04Z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